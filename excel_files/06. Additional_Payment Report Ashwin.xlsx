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C:\Users\priyanka.ranamagar\Desktop\Central Operation Department\Reports\Additional Report (NRB)\TO MIS\"/>
    </mc:Choice>
  </mc:AlternateContent>
  <xr:revisionPtr revIDLastSave="0" documentId="13_ncr:1_{CC087148-51A9-450B-BB73-8F9F678C3A8D}" xr6:coauthVersionLast="41" xr6:coauthVersionMax="41" xr10:uidLastSave="{00000000-0000-0000-0000-000000000000}"/>
  <bookViews>
    <workbookView xWindow="-120" yWindow="-120" windowWidth="20730" windowHeight="11160" activeTab="2" xr2:uid="{00000000-000D-0000-FFFF-FFFF00000000}"/>
  </bookViews>
  <sheets>
    <sheet name="Home Page" sheetId="6" r:id="rId1"/>
    <sheet name="Glossary" sheetId="8" r:id="rId2"/>
    <sheet name="1.International Transactions" sheetId="1" r:id="rId3"/>
    <sheet name="2.Domestic Transactions" sheetId="2" r:id="rId4"/>
    <sheet name="3.No of Merchants_Province" sheetId="3" r:id="rId5"/>
    <sheet name="4.No of Merchants_Local" sheetId="9" r:id="rId6"/>
    <sheet name="5.No of Merchants_District" sheetId="10" r:id="rId7"/>
    <sheet name="6.Genderwise_Merchant" sheetId="14" r:id="rId8"/>
    <sheet name="7. Merchant Txns_Province" sheetId="11" r:id="rId9"/>
    <sheet name="8.Merchant Txns_District" sheetId="13" r:id="rId10"/>
    <sheet name="9.Merchant Txns_Local" sheetId="12" r:id="rId11"/>
    <sheet name="10. Genderwise_Txn" sheetId="15" r:id="rId12"/>
    <sheet name="11.Users" sheetId="4" r:id="rId13"/>
    <sheet name="12.Digital Lending" sheetId="7" r:id="rId14"/>
    <sheet name="Fraud and Grievances " sheetId="5" state="hidden" r:id="rId1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 i="3" l="1"/>
  <c r="B12" i="4"/>
  <c r="G26" i="4"/>
  <c r="F26" i="4"/>
  <c r="E26" i="4"/>
  <c r="C26" i="4"/>
  <c r="B26" i="4"/>
  <c r="H19" i="4"/>
  <c r="G19" i="4"/>
  <c r="E19" i="4"/>
  <c r="C19" i="4"/>
  <c r="H12" i="4"/>
  <c r="D12" i="4"/>
  <c r="F12" i="4"/>
  <c r="I19" i="4"/>
  <c r="F19" i="4"/>
  <c r="D19" i="4"/>
  <c r="H10" i="3"/>
  <c r="B10" i="3"/>
  <c r="H7" i="9"/>
  <c r="E7" i="9"/>
  <c r="B7" i="9"/>
  <c r="A1" i="15"/>
  <c r="A1" i="13"/>
  <c r="A1" i="12"/>
  <c r="A1" i="11"/>
  <c r="H80" i="10"/>
  <c r="B80" i="10"/>
  <c r="A1" i="2"/>
  <c r="A1" i="1"/>
  <c r="C7" i="15"/>
  <c r="B7" i="15"/>
  <c r="B7" i="14"/>
  <c r="K80" i="13"/>
  <c r="J80" i="13"/>
  <c r="G80" i="13"/>
  <c r="F80" i="13"/>
  <c r="C80" i="13"/>
  <c r="B80" i="13"/>
  <c r="K10" i="11"/>
  <c r="J10" i="11"/>
  <c r="F10" i="11"/>
  <c r="G10" i="11"/>
  <c r="C10" i="11"/>
  <c r="B10" i="11"/>
  <c r="K7" i="12"/>
  <c r="J7" i="12"/>
  <c r="G7" i="12"/>
  <c r="F7" i="12"/>
  <c r="C7" i="12"/>
  <c r="B7" i="12"/>
  <c r="H26" i="4"/>
  <c r="I26" i="4"/>
  <c r="D26" i="4"/>
  <c r="C12" i="4"/>
  <c r="I12" i="4"/>
  <c r="G12" i="4"/>
  <c r="E12" i="4"/>
  <c r="B19" i="4" l="1"/>
  <c r="E80" i="10"/>
</calcChain>
</file>

<file path=xl/sharedStrings.xml><?xml version="1.0" encoding="utf-8"?>
<sst xmlns="http://schemas.openxmlformats.org/spreadsheetml/2006/main" count="776" uniqueCount="226">
  <si>
    <t>A. Of which:</t>
  </si>
  <si>
    <t>A.1 Debit Card</t>
  </si>
  <si>
    <t>A.2 Credit Card</t>
  </si>
  <si>
    <t>A.3 Prepaid Card</t>
  </si>
  <si>
    <t>B. Of which:</t>
  </si>
  <si>
    <t xml:space="preserve">B.1 POS </t>
  </si>
  <si>
    <t>1. Card Acquiring</t>
  </si>
  <si>
    <t>B.2 Online (ecommerce)</t>
  </si>
  <si>
    <t>2. Card Issuing</t>
  </si>
  <si>
    <t>3. QR Acquiring</t>
  </si>
  <si>
    <t>4. QR Issuing</t>
  </si>
  <si>
    <t>5. Inward P2P Transfers</t>
  </si>
  <si>
    <t>6. Outward P2P Transfers</t>
  </si>
  <si>
    <t>Particulars</t>
  </si>
  <si>
    <t>2.  Total Merchants</t>
  </si>
  <si>
    <t>2.1 POS-enabled Merchants</t>
  </si>
  <si>
    <t>2.2 QR-Enabled Merchants</t>
  </si>
  <si>
    <t>Metropolitan Cities</t>
  </si>
  <si>
    <t>Sub-Metropolitan Cities</t>
  </si>
  <si>
    <t>Municipalities</t>
  </si>
  <si>
    <t>Rural Municipalities</t>
  </si>
  <si>
    <t>POS-enabled Merchants (Province-wise):</t>
  </si>
  <si>
    <t>Bagmati</t>
  </si>
  <si>
    <t>Koshi</t>
  </si>
  <si>
    <t>Madhesh</t>
  </si>
  <si>
    <t>Gandaki</t>
  </si>
  <si>
    <t>Lumbini</t>
  </si>
  <si>
    <t>Karnali</t>
  </si>
  <si>
    <t>Sudurpaschim</t>
  </si>
  <si>
    <t>No. of Merchants</t>
  </si>
  <si>
    <t>POS-enabled Merchants (Local Level-wise):</t>
  </si>
  <si>
    <t>POS-enabled Merchants (District-wise):</t>
  </si>
  <si>
    <t>QR-enabled Merchants (Province-wise):</t>
  </si>
  <si>
    <t>QR-enabled Merchants (Local Level-wise):</t>
  </si>
  <si>
    <t>QR-enabled Merchants (District-wise):</t>
  </si>
  <si>
    <t>Online-enabled Merchants (Province-wise):</t>
  </si>
  <si>
    <t>Online-enabled Merchants (Local Level-wise):</t>
  </si>
  <si>
    <t>Online-enabled Merchants (District-wise):</t>
  </si>
  <si>
    <t>Nationality</t>
  </si>
  <si>
    <t>2.1 Indian</t>
  </si>
  <si>
    <t>2.2. Chinese</t>
  </si>
  <si>
    <t>2.3 Australian</t>
  </si>
  <si>
    <t xml:space="preserve">1. Nepalese </t>
  </si>
  <si>
    <t>2. Non-Nepalese</t>
  </si>
  <si>
    <t>Mobile Banking</t>
  </si>
  <si>
    <t>eWallets</t>
  </si>
  <si>
    <t>Gender</t>
  </si>
  <si>
    <t>Male</t>
  </si>
  <si>
    <t>Female</t>
  </si>
  <si>
    <t>Other</t>
  </si>
  <si>
    <t>Internet Banking</t>
  </si>
  <si>
    <t>Age Group</t>
  </si>
  <si>
    <t>Debit Card</t>
  </si>
  <si>
    <t>Credit Card</t>
  </si>
  <si>
    <t>Prepaid Card</t>
  </si>
  <si>
    <t>Company</t>
  </si>
  <si>
    <t>Others (Gender other than Male and Female)</t>
  </si>
  <si>
    <t>1. Card Transactions</t>
  </si>
  <si>
    <t>Txn Count(Number)</t>
  </si>
  <si>
    <t>Nepal Rastra Bank</t>
  </si>
  <si>
    <t>Monthly/Quarterly/Yearly Reports</t>
  </si>
  <si>
    <t>Month</t>
  </si>
  <si>
    <t>Year</t>
  </si>
  <si>
    <t>Prepared by</t>
  </si>
  <si>
    <t>Name:</t>
  </si>
  <si>
    <t>Position:</t>
  </si>
  <si>
    <t>Email:</t>
  </si>
  <si>
    <t>Mobile No.:</t>
  </si>
  <si>
    <t>Submitted by</t>
  </si>
  <si>
    <t>Date:</t>
  </si>
  <si>
    <t>Additional Reporting Format</t>
  </si>
  <si>
    <t>Name of the Institution</t>
  </si>
  <si>
    <t>Total</t>
  </si>
  <si>
    <t>Txn Amount(NPR)</t>
  </si>
  <si>
    <t>B.3 ATM Terminals</t>
  </si>
  <si>
    <t>1.1 Cardless Withdrawals Via ATM</t>
  </si>
  <si>
    <t>1.2 NFC Transactions in Merchant Terminals</t>
  </si>
  <si>
    <t>2.3 E-Commerce Enabled Merchants</t>
  </si>
  <si>
    <t>Gender of Proprietor(POS,QR-Enabled,Online Enabled)</t>
  </si>
  <si>
    <t>Internet banking</t>
  </si>
  <si>
    <t>Debit Cards</t>
  </si>
  <si>
    <t>Credit Cards</t>
  </si>
  <si>
    <t>Prepaid Cards</t>
  </si>
  <si>
    <t>2.4 Srilanka</t>
  </si>
  <si>
    <t>2.5 USA</t>
  </si>
  <si>
    <t>2.6 Others</t>
  </si>
  <si>
    <t>Faster Payment Systems</t>
  </si>
  <si>
    <t>ACH</t>
  </si>
  <si>
    <t>S.N.</t>
  </si>
  <si>
    <t>Product Name</t>
  </si>
  <si>
    <t>Total Number of Outstanding Borrowers as of Month End</t>
  </si>
  <si>
    <t>Total Sanctioned Loan Amount (NPR) till Month End</t>
  </si>
  <si>
    <t>Outstanding amount (NPR ) till Month End</t>
  </si>
  <si>
    <t>Total Sanctioned Loan Amount(NPR) in reporting month</t>
  </si>
  <si>
    <t>Total Number of New Loan Clients for the reporting Month</t>
  </si>
  <si>
    <t>Less than or equal to 18 years</t>
  </si>
  <si>
    <t>65+years</t>
  </si>
  <si>
    <t>Card Acquiring</t>
  </si>
  <si>
    <t>Card Issuing</t>
  </si>
  <si>
    <t>QR Acquiring</t>
  </si>
  <si>
    <t>QR Issuing</t>
  </si>
  <si>
    <t xml:space="preserve"> Inward P2P Transfers</t>
  </si>
  <si>
    <t xml:space="preserve"> Outward P2P Transfers</t>
  </si>
  <si>
    <t>Definition</t>
  </si>
  <si>
    <t>Bhojpur District</t>
  </si>
  <si>
    <t>Dhankuta District</t>
  </si>
  <si>
    <t>Ilam District</t>
  </si>
  <si>
    <t>Jhapa District</t>
  </si>
  <si>
    <t>Khotang District</t>
  </si>
  <si>
    <t>Morang District</t>
  </si>
  <si>
    <t>Okhaldhunga District</t>
  </si>
  <si>
    <t>Panchthar District</t>
  </si>
  <si>
    <t>Sankhuwasabha District</t>
  </si>
  <si>
    <t>Solukhumbu District</t>
  </si>
  <si>
    <t>Sunsari District</t>
  </si>
  <si>
    <t>Taplejung District</t>
  </si>
  <si>
    <t>Tehrathum District</t>
  </si>
  <si>
    <t>Udayapur District</t>
  </si>
  <si>
    <t>Parsa District</t>
  </si>
  <si>
    <t>Bara District</t>
  </si>
  <si>
    <t>Rautahat District</t>
  </si>
  <si>
    <t>Sarlahi District</t>
  </si>
  <si>
    <t>Dhanusha District</t>
  </si>
  <si>
    <t>Siraha District</t>
  </si>
  <si>
    <t>Mahottari District</t>
  </si>
  <si>
    <t>Saptari District</t>
  </si>
  <si>
    <t>Sindhuli District</t>
  </si>
  <si>
    <t>Ramechhap District</t>
  </si>
  <si>
    <t>Dolakha District</t>
  </si>
  <si>
    <t>Bhaktapur District</t>
  </si>
  <si>
    <t>Dhading District</t>
  </si>
  <si>
    <t>Kathmandu District</t>
  </si>
  <si>
    <t>Kavrepalanchok District</t>
  </si>
  <si>
    <t>Lalitpur District</t>
  </si>
  <si>
    <t>Nuwakot District</t>
  </si>
  <si>
    <t>Rasuwa District</t>
  </si>
  <si>
    <t>Sindhupalchok District</t>
  </si>
  <si>
    <t>Chitwan District</t>
  </si>
  <si>
    <t>Makwanpur District</t>
  </si>
  <si>
    <t>Baglung District</t>
  </si>
  <si>
    <t>Gorkha District</t>
  </si>
  <si>
    <t>Kaski District</t>
  </si>
  <si>
    <t>Lamjung District</t>
  </si>
  <si>
    <t>Manang District</t>
  </si>
  <si>
    <t>Mustang District</t>
  </si>
  <si>
    <t>Myagdi District</t>
  </si>
  <si>
    <t>Nawalparasi (East of Bardaghat Susta) District</t>
  </si>
  <si>
    <t>Parbat District</t>
  </si>
  <si>
    <t>Syangja District</t>
  </si>
  <si>
    <t>Tanahun District</t>
  </si>
  <si>
    <t>Kapilvastu District</t>
  </si>
  <si>
    <t>Nawalparasi (West of Bardaghat Susta) District</t>
  </si>
  <si>
    <t>Rupandehi District</t>
  </si>
  <si>
    <t>Arghakhanchi District</t>
  </si>
  <si>
    <t>Gulmi District</t>
  </si>
  <si>
    <t>Palpa District</t>
  </si>
  <si>
    <t>Dang District</t>
  </si>
  <si>
    <t>Pyuthan District</t>
  </si>
  <si>
    <t>Rolpa District</t>
  </si>
  <si>
    <t>Eastern Rukum</t>
  </si>
  <si>
    <t>Banke District</t>
  </si>
  <si>
    <t>Bardiya District</t>
  </si>
  <si>
    <t>Western Rukum District</t>
  </si>
  <si>
    <t>Salyan District</t>
  </si>
  <si>
    <t>Dolpa District</t>
  </si>
  <si>
    <t>Humla District</t>
  </si>
  <si>
    <t>Jumla District</t>
  </si>
  <si>
    <t>Kalikot District</t>
  </si>
  <si>
    <t>Mugu District</t>
  </si>
  <si>
    <t>Surkhet District</t>
  </si>
  <si>
    <t>Dailekh District</t>
  </si>
  <si>
    <t>Jajarkot District</t>
  </si>
  <si>
    <t>Kailali District</t>
  </si>
  <si>
    <t>Achham District</t>
  </si>
  <si>
    <t>Doti District</t>
  </si>
  <si>
    <t>Bajhang District</t>
  </si>
  <si>
    <t>Bajura District</t>
  </si>
  <si>
    <t>Kanchanpur District</t>
  </si>
  <si>
    <t>Dadeldhura District</t>
  </si>
  <si>
    <t>Baitadi District</t>
  </si>
  <si>
    <t>Darchula District</t>
  </si>
  <si>
    <t>1. International Transaction</t>
  </si>
  <si>
    <t>Cardless Withdrawals Via ATM</t>
  </si>
  <si>
    <t>NFC Transactions in Merchant Terminals</t>
  </si>
  <si>
    <t>POS-enabled Merchants</t>
  </si>
  <si>
    <t>QR-Enabled Merchants</t>
  </si>
  <si>
    <t>E-Commerce Enabled Merchants</t>
  </si>
  <si>
    <t>2. Domestic Transaction</t>
  </si>
  <si>
    <t>NPL-Loss (Percentage)</t>
  </si>
  <si>
    <t>(Cumulative Number of Users as of Month End)</t>
  </si>
  <si>
    <t xml:space="preserve">Digital Lending </t>
  </si>
  <si>
    <t xml:space="preserve">Merchants Accepting Digital Payments (Onboarded by Licensed Insititutions) As of Month end -District Wise
</t>
  </si>
  <si>
    <t>Merchants Accepting Digital Payments (Onboarded by Licensed Insititutions) As of Month end -Local Level wise</t>
  </si>
  <si>
    <t>Merchants Accepting Digital Payments (Onboarded by Licensed Insititutions) As of Month end -Province Level wise</t>
  </si>
  <si>
    <t>Digital Channel/Instrument/ Systems Users as of Month End</t>
  </si>
  <si>
    <t>6. Genderwise Merchant</t>
  </si>
  <si>
    <t>Refers to transactions from international cards (debit, credit, prepaid) issued by foreign banks, acquired at Merchant terminals onboarded by licensed institutions in Nepal.</t>
  </si>
  <si>
    <t>Refers to transactions from cards (debit, credit, prepaid) issued by Nepalese BFIs, acquired at Merchant terminals outside Nepal.</t>
  </si>
  <si>
    <t>Refers to transactions, originated from instruments issued by BFIs in other countries, acquired by Nepalese QR merchants in Nepal.</t>
  </si>
  <si>
    <t xml:space="preserve">Refers to peer to peer transfer payments received from other countries </t>
  </si>
  <si>
    <t>Refers to peer to peer transfer payments made from Nepal to other countries</t>
  </si>
  <si>
    <t xml:space="preserve">Refers to ATM withdrawals processed using mobile banking application, without using physical cards in the ATM terminal </t>
  </si>
  <si>
    <t>Refers to card-based transactions at merchant terminals using NFC or tap feature (without entering PIN)</t>
  </si>
  <si>
    <t>Refers to merchants onboarded by BFIs, accepting digital payments via Point-of-Sale (POS) machines</t>
  </si>
  <si>
    <t>Refers to merchants onboarded by licensed institutions, accepting digital payments via QR Codes</t>
  </si>
  <si>
    <t>Refers to merchants onboarded by licensed institutions, operating e-commerce platforms/sites and accepting digital payments (checkout) through gateway integrations</t>
  </si>
  <si>
    <t>Refers to merchants, other than sole propreitorship, onboarded by licensed institutions. For sole proprietorship firms onboarded as merchants, licensed institutions are required to report the gender of the owner. Licensed institutions are required to report merchants other than sole propreitorship as company.</t>
  </si>
  <si>
    <t>3.,4.,5.</t>
  </si>
  <si>
    <t xml:space="preserve">Merchants Accepting Digital Payments (Onboarded by Licensed Insititutions) As of Month end </t>
  </si>
  <si>
    <t>Refers to cumulative number of merchants onboarded by licensed institutions till the reporting period.</t>
  </si>
  <si>
    <t xml:space="preserve"> Merchants Onboarded by Licensed Institutions-Gender Wise As of Month End</t>
  </si>
  <si>
    <t>6. Genderwise_merchant</t>
  </si>
  <si>
    <t>Refers to data of merchants onboarded by licensed institutions, categorized based on the gender of the propreitor or the company (if the merchant is a company)</t>
  </si>
  <si>
    <t>Faster payment systems</t>
  </si>
  <si>
    <t>Refers to real-time fast payment systems like connectIPS, issued to customers by licensed institutions.</t>
  </si>
  <si>
    <t>Refers to automated clearing house (ACH) systems, offering bulk debit or credit transfer facilities, extended to customers by banks and financial institutions.</t>
  </si>
  <si>
    <t>19-40 years</t>
  </si>
  <si>
    <t>41-65 years</t>
  </si>
  <si>
    <t>11. Users</t>
  </si>
  <si>
    <t>Sheet No.</t>
  </si>
  <si>
    <t>Refers to transactions, originated from instruments issued by licensed insitutions in Nepal, acquired by QR merchants in other countries.</t>
  </si>
  <si>
    <t>Non Performing Loans(NPR)-Substandard</t>
  </si>
  <si>
    <t>Non Performing Loans(NPR)-Doubtful</t>
  </si>
  <si>
    <t>Non Performing Loans(NPR)-Loss</t>
  </si>
  <si>
    <t>Jyoti Bikash Bank Ltd.</t>
  </si>
  <si>
    <t>Ashwin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</si>
</sst>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2"/>
      <color theme="1"/>
      <name val="Calibri"/>
      <family val="2"/>
    </font>
    <font>
      <b/>
      <sz val="11"/>
      <color theme="1"/>
      <name val="Calibri"/>
      <family val="2"/>
      <scheme val="minor"/>
    </font>
    <font>
      <b/>
      <sz val="18"/>
      <color indexed="10"/>
      <name val="Calibri"/>
      <family val="2"/>
    </font>
    <font>
      <b/>
      <sz val="15"/>
      <color indexed="8"/>
      <name val="Calibri"/>
      <family val="2"/>
    </font>
    <font>
      <sz val="14"/>
      <color indexed="8"/>
      <name val="Calibri"/>
      <family val="2"/>
    </font>
    <font>
      <sz val="14"/>
      <name val="Calibri"/>
      <family val="2"/>
    </font>
    <font>
      <b/>
      <sz val="14"/>
      <color indexed="8"/>
      <name val="Calibri"/>
      <family val="2"/>
    </font>
    <font>
      <b/>
      <sz val="10"/>
      <color rgb="FF000000"/>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thin">
        <color indexed="64"/>
      </right>
      <top/>
      <bottom/>
      <diagonal/>
    </border>
    <border>
      <left style="thin">
        <color indexed="64"/>
      </left>
      <right style="medium">
        <color indexed="64"/>
      </right>
      <top/>
      <bottom style="medium">
        <color indexed="64"/>
      </bottom>
      <diagonal/>
    </border>
  </borders>
  <cellStyleXfs count="1">
    <xf numFmtId="0" fontId="0" fillId="0" borderId="0"/>
  </cellStyleXfs>
  <cellXfs count="85">
    <xf numFmtId="0" fontId="0" fillId="0" borderId="0" xfId="0"/>
    <xf numFmtId="0" fontId="1" fillId="0" borderId="0" xfId="0" applyFont="1"/>
    <xf numFmtId="0" fontId="1" fillId="0" borderId="1" xfId="0" applyFont="1" applyBorder="1"/>
    <xf numFmtId="0" fontId="0" fillId="0" borderId="1" xfId="0" applyBorder="1"/>
    <xf numFmtId="0" fontId="1" fillId="0" borderId="1" xfId="0" applyFont="1" applyBorder="1" applyAlignment="1">
      <alignment horizontal="center"/>
    </xf>
    <xf numFmtId="0" fontId="1" fillId="0" borderId="0" xfId="0" applyFont="1" applyAlignment="1">
      <alignment horizontal="centerContinuous"/>
    </xf>
    <xf numFmtId="0" fontId="0" fillId="0" borderId="0" xfId="0" applyAlignment="1">
      <alignment horizontal="centerContinuous"/>
    </xf>
    <xf numFmtId="0" fontId="1" fillId="0" borderId="1" xfId="0" applyFont="1" applyFill="1" applyBorder="1" applyAlignment="1">
      <alignment horizontal="center"/>
    </xf>
    <xf numFmtId="0" fontId="6" fillId="0" borderId="9" xfId="0" applyFont="1" applyBorder="1" applyAlignment="1" applyProtection="1">
      <alignment horizontal="left"/>
      <protection locked="0"/>
    </xf>
    <xf numFmtId="0" fontId="5" fillId="0" borderId="10" xfId="0" applyFont="1" applyBorder="1" applyAlignment="1" applyProtection="1">
      <alignment horizontal="left"/>
      <protection locked="0"/>
    </xf>
    <xf numFmtId="0" fontId="5" fillId="0" borderId="14" xfId="0" applyFont="1" applyBorder="1" applyAlignment="1" applyProtection="1">
      <alignment horizontal="left"/>
      <protection locked="0"/>
    </xf>
    <xf numFmtId="0" fontId="5" fillId="0" borderId="9" xfId="0" applyFont="1" applyBorder="1" applyAlignment="1" applyProtection="1">
      <alignment horizontal="left"/>
      <protection locked="0"/>
    </xf>
    <xf numFmtId="49" fontId="0" fillId="0" borderId="10" xfId="0" applyNumberFormat="1" applyBorder="1" applyProtection="1">
      <protection locked="0"/>
    </xf>
    <xf numFmtId="0" fontId="5" fillId="0" borderId="8" xfId="0" applyFont="1" applyBorder="1" applyAlignment="1" applyProtection="1">
      <alignment horizontal="left"/>
      <protection locked="0"/>
    </xf>
    <xf numFmtId="49" fontId="5" fillId="0" borderId="8" xfId="0" applyNumberFormat="1" applyFont="1" applyBorder="1" applyAlignment="1" applyProtection="1">
      <alignment horizontal="left"/>
      <protection locked="0"/>
    </xf>
    <xf numFmtId="0" fontId="0" fillId="2" borderId="0" xfId="0" applyFill="1" applyProtection="1"/>
    <xf numFmtId="0" fontId="0" fillId="0" borderId="0" xfId="0" applyProtection="1"/>
    <xf numFmtId="0" fontId="7" fillId="2" borderId="11" xfId="0" applyFont="1" applyFill="1" applyBorder="1" applyAlignment="1" applyProtection="1">
      <alignment horizontal="right" vertical="center"/>
    </xf>
    <xf numFmtId="0" fontId="5" fillId="2" borderId="12" xfId="0" applyFont="1" applyFill="1" applyBorder="1" applyAlignment="1" applyProtection="1">
      <alignment horizontal="right" vertical="center"/>
    </xf>
    <xf numFmtId="0" fontId="5" fillId="2" borderId="13" xfId="0" applyFont="1" applyFill="1" applyBorder="1" applyAlignment="1" applyProtection="1">
      <alignment horizontal="right" vertical="center"/>
    </xf>
    <xf numFmtId="0" fontId="5" fillId="2" borderId="4" xfId="0" applyFont="1" applyFill="1" applyBorder="1" applyAlignment="1" applyProtection="1">
      <alignment horizontal="right" vertical="center"/>
    </xf>
    <xf numFmtId="0" fontId="5" fillId="2" borderId="5" xfId="0" applyFont="1" applyFill="1" applyBorder="1" applyAlignment="1" applyProtection="1">
      <alignment horizontal="right" vertical="center"/>
    </xf>
    <xf numFmtId="0" fontId="5" fillId="2" borderId="11" xfId="0" applyFont="1" applyFill="1" applyBorder="1" applyAlignment="1" applyProtection="1">
      <alignment horizontal="right" vertical="center"/>
    </xf>
    <xf numFmtId="0" fontId="5" fillId="2" borderId="15" xfId="0" applyFont="1" applyFill="1" applyBorder="1" applyAlignment="1" applyProtection="1">
      <alignment horizontal="right" vertical="center"/>
    </xf>
    <xf numFmtId="0" fontId="5" fillId="2" borderId="16" xfId="0" applyFont="1" applyFill="1" applyBorder="1" applyAlignment="1" applyProtection="1">
      <alignment horizontal="right" vertical="center"/>
    </xf>
    <xf numFmtId="0" fontId="0" fillId="3" borderId="0" xfId="0" applyFill="1" applyProtection="1"/>
    <xf numFmtId="0" fontId="0" fillId="0" borderId="3" xfId="0" applyFill="1" applyBorder="1" applyAlignment="1" applyProtection="1">
      <alignment horizontal="left" vertical="center"/>
      <protection locked="0"/>
    </xf>
    <xf numFmtId="0" fontId="0" fillId="0" borderId="17" xfId="0" applyBorder="1"/>
    <xf numFmtId="0" fontId="1" fillId="0" borderId="18" xfId="0" applyFont="1" applyBorder="1"/>
    <xf numFmtId="0" fontId="1" fillId="0" borderId="19" xfId="0" applyFont="1" applyBorder="1"/>
    <xf numFmtId="0" fontId="1" fillId="0" borderId="20" xfId="0" applyFont="1" applyBorder="1"/>
    <xf numFmtId="0" fontId="1" fillId="0" borderId="18" xfId="0" applyFont="1" applyFill="1" applyBorder="1"/>
    <xf numFmtId="0" fontId="1" fillId="0" borderId="21" xfId="0" applyFont="1" applyBorder="1"/>
    <xf numFmtId="0" fontId="1" fillId="0" borderId="22" xfId="0" applyFont="1" applyBorder="1"/>
    <xf numFmtId="0" fontId="0" fillId="0" borderId="1" xfId="0" applyFill="1" applyBorder="1"/>
    <xf numFmtId="0" fontId="1" fillId="0" borderId="1" xfId="0" applyFont="1" applyFill="1" applyBorder="1"/>
    <xf numFmtId="0" fontId="8" fillId="0" borderId="23" xfId="0" applyFont="1" applyBorder="1" applyAlignment="1">
      <alignment horizontal="center" vertical="center" wrapText="1"/>
    </xf>
    <xf numFmtId="0" fontId="8" fillId="0" borderId="22" xfId="0" applyFont="1" applyBorder="1" applyAlignment="1">
      <alignment horizontal="center" vertical="center" wrapText="1"/>
    </xf>
    <xf numFmtId="0" fontId="0" fillId="0" borderId="0" xfId="0" applyFill="1"/>
    <xf numFmtId="0" fontId="8" fillId="0" borderId="23" xfId="0" applyFont="1" applyFill="1" applyBorder="1" applyAlignment="1">
      <alignment horizontal="center" vertical="center" wrapText="1"/>
    </xf>
    <xf numFmtId="0" fontId="0" fillId="0" borderId="1" xfId="0" applyFont="1" applyBorder="1"/>
    <xf numFmtId="0" fontId="10" fillId="0" borderId="24" xfId="0" applyFont="1" applyBorder="1"/>
    <xf numFmtId="0" fontId="10" fillId="0" borderId="1" xfId="0" applyFont="1" applyBorder="1"/>
    <xf numFmtId="0" fontId="9" fillId="0" borderId="0" xfId="0" applyNumberFormat="1" applyFont="1" applyAlignment="1">
      <alignment horizontal="centerContinuous"/>
    </xf>
    <xf numFmtId="0" fontId="0" fillId="0" borderId="0" xfId="0" applyNumberFormat="1" applyAlignment="1">
      <alignment horizontal="centerContinuous"/>
    </xf>
    <xf numFmtId="0" fontId="1" fillId="0" borderId="0" xfId="0" applyFont="1" applyAlignment="1">
      <alignment horizontal="centerContinuous" vertical="center" wrapText="1"/>
    </xf>
    <xf numFmtId="0" fontId="1" fillId="0" borderId="0" xfId="0" applyFont="1" applyAlignment="1">
      <alignment horizontal="centerContinuous" vertical="center"/>
    </xf>
    <xf numFmtId="0" fontId="1" fillId="0" borderId="0" xfId="0" applyFont="1" applyAlignment="1">
      <alignment vertical="center"/>
    </xf>
    <xf numFmtId="0" fontId="0" fillId="0" borderId="18" xfId="0" applyFill="1" applyBorder="1"/>
    <xf numFmtId="0" fontId="0" fillId="0" borderId="22" xfId="0" applyBorder="1"/>
    <xf numFmtId="0" fontId="0" fillId="0" borderId="0" xfId="0" applyAlignment="1">
      <alignment wrapText="1"/>
    </xf>
    <xf numFmtId="0" fontId="0" fillId="0" borderId="1" xfId="0" applyBorder="1" applyAlignment="1">
      <alignment wrapText="1"/>
    </xf>
    <xf numFmtId="0" fontId="0" fillId="0" borderId="27" xfId="0" applyBorder="1"/>
    <xf numFmtId="0" fontId="1" fillId="0" borderId="28" xfId="0" applyFont="1" applyBorder="1"/>
    <xf numFmtId="0" fontId="1" fillId="0" borderId="1" xfId="0" applyFont="1" applyBorder="1" applyAlignment="1">
      <alignment wrapText="1"/>
    </xf>
    <xf numFmtId="0" fontId="0" fillId="0" borderId="1" xfId="0" applyBorder="1" applyProtection="1">
      <protection locked="0"/>
    </xf>
    <xf numFmtId="0" fontId="0" fillId="0" borderId="1" xfId="0" applyBorder="1" applyProtection="1"/>
    <xf numFmtId="0" fontId="1" fillId="0" borderId="1" xfId="0" applyFont="1" applyBorder="1" applyProtection="1"/>
    <xf numFmtId="0" fontId="1" fillId="0" borderId="0" xfId="0" applyFont="1" applyProtection="1"/>
    <xf numFmtId="0" fontId="1" fillId="0" borderId="0" xfId="0" applyFont="1" applyAlignment="1" applyProtection="1">
      <alignment horizontal="centerContinuous"/>
    </xf>
    <xf numFmtId="0" fontId="0" fillId="0" borderId="0" xfId="0" applyAlignment="1" applyProtection="1">
      <alignment horizontal="centerContinuous"/>
    </xf>
    <xf numFmtId="0" fontId="1" fillId="0" borderId="1" xfId="0" applyFont="1" applyBorder="1" applyAlignment="1" applyProtection="1">
      <alignment horizontal="center"/>
    </xf>
    <xf numFmtId="0" fontId="0" fillId="0" borderId="17" xfId="0" applyBorder="1" applyProtection="1"/>
    <xf numFmtId="0" fontId="1" fillId="0" borderId="18" xfId="0" applyFont="1" applyBorder="1" applyProtection="1"/>
    <xf numFmtId="0" fontId="1" fillId="0" borderId="19" xfId="0" applyFont="1" applyBorder="1" applyProtection="1"/>
    <xf numFmtId="0" fontId="0" fillId="0" borderId="17" xfId="0" applyBorder="1" applyProtection="1">
      <protection locked="0"/>
    </xf>
    <xf numFmtId="0" fontId="1" fillId="0" borderId="26" xfId="0" applyFont="1" applyFill="1" applyBorder="1" applyProtection="1"/>
    <xf numFmtId="0" fontId="1" fillId="0" borderId="23" xfId="0" applyFont="1" applyBorder="1" applyProtection="1"/>
    <xf numFmtId="0" fontId="1" fillId="0" borderId="0" xfId="0" applyFont="1" applyAlignment="1" applyProtection="1">
      <alignment horizontal="centerContinuous" vertical="center" wrapText="1"/>
    </xf>
    <xf numFmtId="0" fontId="1" fillId="0" borderId="0" xfId="0" applyFont="1" applyAlignment="1" applyProtection="1">
      <alignment horizontal="centerContinuous" vertical="center"/>
    </xf>
    <xf numFmtId="0" fontId="1" fillId="0" borderId="0" xfId="0" applyFont="1" applyAlignment="1" applyProtection="1">
      <alignment vertical="center"/>
    </xf>
    <xf numFmtId="0" fontId="1" fillId="0" borderId="18" xfId="0" applyFont="1" applyFill="1" applyBorder="1" applyProtection="1"/>
    <xf numFmtId="0" fontId="1" fillId="0" borderId="22" xfId="0" applyFont="1" applyBorder="1" applyProtection="1"/>
    <xf numFmtId="0" fontId="0" fillId="0" borderId="25" xfId="0" applyBorder="1" applyProtection="1">
      <protection locked="0"/>
    </xf>
    <xf numFmtId="0" fontId="0" fillId="0" borderId="1" xfId="0" applyFill="1" applyBorder="1" applyProtection="1">
      <protection locked="0"/>
    </xf>
    <xf numFmtId="0" fontId="0" fillId="0" borderId="24" xfId="0" applyBorder="1" applyProtection="1">
      <protection locked="0"/>
    </xf>
    <xf numFmtId="0" fontId="0" fillId="0" borderId="0" xfId="0" applyProtection="1">
      <protection locked="0"/>
    </xf>
    <xf numFmtId="0" fontId="3" fillId="2" borderId="2" xfId="0" applyFont="1" applyFill="1" applyBorder="1" applyAlignment="1" applyProtection="1">
      <alignment horizontal="center"/>
    </xf>
    <xf numFmtId="0" fontId="3" fillId="2" borderId="3" xfId="0" applyFont="1" applyFill="1" applyBorder="1" applyAlignment="1" applyProtection="1">
      <alignment horizontal="center"/>
    </xf>
    <xf numFmtId="0" fontId="4" fillId="2" borderId="4" xfId="0" applyFont="1" applyFill="1" applyBorder="1" applyAlignment="1" applyProtection="1">
      <alignment horizontal="center"/>
    </xf>
    <xf numFmtId="0" fontId="4" fillId="2" borderId="5" xfId="0" applyFont="1" applyFill="1" applyBorder="1" applyAlignment="1" applyProtection="1">
      <alignment horizontal="center"/>
    </xf>
    <xf numFmtId="0" fontId="2" fillId="2" borderId="6" xfId="0" applyFont="1" applyFill="1" applyBorder="1" applyAlignment="1" applyProtection="1">
      <alignment horizontal="center"/>
    </xf>
    <xf numFmtId="0" fontId="2" fillId="2" borderId="7" xfId="0" applyFont="1" applyFill="1" applyBorder="1" applyAlignment="1" applyProtection="1">
      <alignment horizontal="center"/>
    </xf>
    <xf numFmtId="0" fontId="7" fillId="2" borderId="4" xfId="0" applyFont="1" applyFill="1" applyBorder="1" applyAlignment="1" applyProtection="1">
      <alignment horizontal="center" vertical="center"/>
    </xf>
    <xf numFmtId="0" fontId="7" fillId="2" borderId="5" xfId="0" applyFont="1" applyFill="1" applyBorder="1" applyAlignment="1" applyProtection="1">
      <alignment horizontal="center" vertical="center"/>
    </xf>
  </cellXfs>
  <cellStyles count="1">
    <cellStyle name="Normal" xfId="0" builtinId="0"/>
  </cellStyles>
  <dxfs count="3">
    <dxf>
      <font>
        <u/>
      </font>
    </dxf>
    <dxf>
      <border>
        <left style="thin">
          <color indexed="64"/>
        </left>
        <right style="thin">
          <color indexed="64"/>
        </right>
        <top style="thin">
          <color indexed="64"/>
        </top>
        <bottom style="thin">
          <color indexed="64"/>
        </bottom>
      </border>
    </dxf>
    <dxf>
      <font>
        <b/>
        <i/>
        <color rgb="FFFF0000"/>
      </font>
      <fill>
        <gradientFill degree="90">
          <stop position="0">
            <color rgb="FFFFFF00"/>
          </stop>
          <stop position="1">
            <color rgb="FF16F621"/>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workbookViewId="0">
      <selection activeCell="I5" sqref="I5"/>
    </sheetView>
  </sheetViews>
  <sheetFormatPr defaultRowHeight="15.75" x14ac:dyDescent="0.25"/>
  <cols>
    <col min="1" max="1" width="5.125" style="25" customWidth="1"/>
    <col min="2" max="2" width="24.25" style="15" customWidth="1"/>
    <col min="3" max="3" width="37.875" style="15" customWidth="1"/>
    <col min="4" max="16384" width="9" style="16"/>
  </cols>
  <sheetData>
    <row r="1" spans="1:3" ht="23.25" x14ac:dyDescent="0.35">
      <c r="A1" s="15"/>
      <c r="B1" s="77" t="s">
        <v>59</v>
      </c>
      <c r="C1" s="78"/>
    </row>
    <row r="2" spans="1:3" ht="19.5" x14ac:dyDescent="0.3">
      <c r="A2" s="15"/>
      <c r="B2" s="79" t="s">
        <v>70</v>
      </c>
      <c r="C2" s="80"/>
    </row>
    <row r="3" spans="1:3" ht="16.5" thickBot="1" x14ac:dyDescent="0.3">
      <c r="A3" s="15"/>
      <c r="B3" s="81" t="s">
        <v>60</v>
      </c>
      <c r="C3" s="82"/>
    </row>
    <row r="4" spans="1:3" ht="18.75" x14ac:dyDescent="0.25">
      <c r="A4" s="15"/>
      <c r="B4" s="17" t="s">
        <v>71</v>
      </c>
      <c r="C4" s="26" t="s">
        <v>224</v>
      </c>
    </row>
    <row r="5" spans="1:3" ht="18.75" x14ac:dyDescent="0.3">
      <c r="A5" s="15"/>
      <c r="B5" s="18" t="s">
        <v>61</v>
      </c>
      <c r="C5" s="8" t="s">
        <v>225</v>
      </c>
    </row>
    <row r="6" spans="1:3" ht="19.5" thickBot="1" x14ac:dyDescent="0.35">
      <c r="A6" s="15"/>
      <c r="B6" s="19" t="s">
        <v>62</v>
      </c>
      <c r="C6" s="9">
        <v>2082</v>
      </c>
    </row>
    <row r="7" spans="1:3" ht="18.75" x14ac:dyDescent="0.25">
      <c r="A7" s="15"/>
      <c r="B7" s="20"/>
      <c r="C7" s="21"/>
    </row>
    <row r="8" spans="1:3" ht="19.5" thickBot="1" x14ac:dyDescent="0.3">
      <c r="A8" s="15"/>
      <c r="B8" s="83" t="s">
        <v>63</v>
      </c>
      <c r="C8" s="84"/>
    </row>
    <row r="9" spans="1:3" ht="18.75" x14ac:dyDescent="0.3">
      <c r="A9" s="15"/>
      <c r="B9" s="22" t="s">
        <v>64</v>
      </c>
      <c r="C9" s="10"/>
    </row>
    <row r="10" spans="1:3" ht="18.75" x14ac:dyDescent="0.3">
      <c r="A10" s="15"/>
      <c r="B10" s="18" t="s">
        <v>65</v>
      </c>
      <c r="C10" s="11"/>
    </row>
    <row r="11" spans="1:3" ht="18.75" x14ac:dyDescent="0.3">
      <c r="A11" s="15"/>
      <c r="B11" s="18" t="s">
        <v>66</v>
      </c>
      <c r="C11" s="11"/>
    </row>
    <row r="12" spans="1:3" ht="19.5" thickBot="1" x14ac:dyDescent="0.3">
      <c r="A12" s="15"/>
      <c r="B12" s="23" t="s">
        <v>67</v>
      </c>
      <c r="C12" s="12"/>
    </row>
    <row r="13" spans="1:3" ht="18.75" x14ac:dyDescent="0.25">
      <c r="A13" s="15"/>
      <c r="B13" s="20"/>
      <c r="C13" s="21"/>
    </row>
    <row r="14" spans="1:3" ht="19.5" thickBot="1" x14ac:dyDescent="0.3">
      <c r="A14" s="15"/>
      <c r="B14" s="83" t="s">
        <v>68</v>
      </c>
      <c r="C14" s="84"/>
    </row>
    <row r="15" spans="1:3" ht="18.75" x14ac:dyDescent="0.3">
      <c r="A15" s="15"/>
      <c r="B15" s="22" t="s">
        <v>64</v>
      </c>
      <c r="C15" s="10"/>
    </row>
    <row r="16" spans="1:3" ht="18.75" x14ac:dyDescent="0.3">
      <c r="A16" s="15"/>
      <c r="B16" s="24" t="s">
        <v>65</v>
      </c>
      <c r="C16" s="13"/>
    </row>
    <row r="17" spans="1:3" ht="18.75" x14ac:dyDescent="0.3">
      <c r="A17" s="15"/>
      <c r="B17" s="24" t="s">
        <v>69</v>
      </c>
      <c r="C17" s="14"/>
    </row>
    <row r="18" spans="1:3" ht="18.75" x14ac:dyDescent="0.3">
      <c r="A18" s="15"/>
      <c r="B18" s="18" t="s">
        <v>66</v>
      </c>
      <c r="C18" s="14"/>
    </row>
    <row r="19" spans="1:3" ht="19.5" thickBot="1" x14ac:dyDescent="0.3">
      <c r="A19" s="15"/>
      <c r="B19" s="19" t="s">
        <v>67</v>
      </c>
      <c r="C19" s="12"/>
    </row>
    <row r="20" spans="1:3" x14ac:dyDescent="0.25">
      <c r="A20" s="15"/>
    </row>
  </sheetData>
  <sheetProtection algorithmName="SHA-512" hashValue="IJIMkcCFAcsjM/o5z1tGpWgXu7WT09rMXZ9lMpuzELW7PSyeOGG5A2ao06sWxLLyKjIAKd3FJc+5hHYfQMtogg==" saltValue="rLPZYiBZOUTjNyBpYrSW3A==" spinCount="100000" sheet="1" objects="1" scenarios="1"/>
  <mergeCells count="5">
    <mergeCell ref="B1:C1"/>
    <mergeCell ref="B2:C2"/>
    <mergeCell ref="B3:C3"/>
    <mergeCell ref="B8:C8"/>
    <mergeCell ref="B14:C14"/>
  </mergeCells>
  <conditionalFormatting sqref="B3">
    <cfRule type="containsText" dxfId="2" priority="5" stopIfTrue="1" operator="containsText" text="Complete the white fields in the table given below first">
      <formula>NOT(ISERROR(SEARCH("Complete the white fields in the table given below first",B3)))</formula>
    </cfRule>
  </conditionalFormatting>
  <conditionalFormatting sqref="C4">
    <cfRule type="containsText" dxfId="1" priority="2" operator="containsText" text="1">
      <formula>NOT(ISERROR(SEARCH("1",C4)))</formula>
    </cfRule>
  </conditionalFormatting>
  <conditionalFormatting sqref="C4">
    <cfRule type="containsText" dxfId="0" priority="3" operator="containsText" text="Checking">
      <formula>NOT(ISERROR(SEARCH("Checking",C4)))</formula>
    </cfRule>
  </conditionalFormatting>
  <dataValidations count="3">
    <dataValidation type="textLength" operator="equal" allowBlank="1" showInputMessage="1" showErrorMessage="1" error="Please Enter Valid Mobile Number" prompt="Please Enter Valid Mobile Number" sqref="C19 C12" xr:uid="{00000000-0002-0000-0000-000000000000}">
      <formula1>10</formula1>
    </dataValidation>
    <dataValidation type="list" allowBlank="1" showInputMessage="1" showErrorMessage="1" errorTitle="Invalid year" error="Year must be 2067 to 2078" sqref="C6" xr:uid="{00000000-0002-0000-0000-000001000000}">
      <formula1>"2081,2082,2083"</formula1>
    </dataValidation>
    <dataValidation type="list" allowBlank="1" showInputMessage="1" showErrorMessage="1" errorTitle="The value you entered is invalid" error="Select month from dropdown list." prompt="Please select the month from dropdown list." sqref="C5" xr:uid="{00000000-0002-0000-0000-000002000000}">
      <formula1>"Shrawan,Bhadra,Ashwin,Kartik,Marg,Poush,Magh,Falgun,Chaitra,Baishakh,Jestha,Ashadh"</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pane ySplit="1" topLeftCell="A2" activePane="bottomLeft" state="frozen"/>
      <selection pane="bottomLeft" activeCell="D3" sqref="D3"/>
    </sheetView>
  </sheetViews>
  <sheetFormatPr defaultRowHeight="15.75" x14ac:dyDescent="0.25"/>
  <cols>
    <col min="2" max="2" width="37.5" style="50" bestFit="1" customWidth="1"/>
    <col min="3" max="3" width="23.625" bestFit="1" customWidth="1"/>
    <col min="4" max="4" width="77.5" customWidth="1"/>
  </cols>
  <sheetData>
    <row r="1" spans="1:4" x14ac:dyDescent="0.25">
      <c r="A1" s="2" t="s">
        <v>88</v>
      </c>
      <c r="B1" s="54" t="s">
        <v>13</v>
      </c>
      <c r="C1" s="2" t="s">
        <v>219</v>
      </c>
      <c r="D1" s="2" t="s">
        <v>103</v>
      </c>
    </row>
    <row r="2" spans="1:4" ht="31.5" x14ac:dyDescent="0.25">
      <c r="A2" s="3">
        <v>1</v>
      </c>
      <c r="B2" s="51" t="s">
        <v>97</v>
      </c>
      <c r="C2" s="3" t="s">
        <v>181</v>
      </c>
      <c r="D2" s="51" t="s">
        <v>196</v>
      </c>
    </row>
    <row r="3" spans="1:4" ht="31.5" x14ac:dyDescent="0.25">
      <c r="A3" s="3">
        <v>2</v>
      </c>
      <c r="B3" s="51" t="s">
        <v>98</v>
      </c>
      <c r="C3" s="3" t="s">
        <v>181</v>
      </c>
      <c r="D3" s="51" t="s">
        <v>197</v>
      </c>
    </row>
    <row r="4" spans="1:4" ht="31.5" x14ac:dyDescent="0.25">
      <c r="A4" s="3">
        <v>3</v>
      </c>
      <c r="B4" s="51" t="s">
        <v>99</v>
      </c>
      <c r="C4" s="3" t="s">
        <v>181</v>
      </c>
      <c r="D4" s="51" t="s">
        <v>198</v>
      </c>
    </row>
    <row r="5" spans="1:4" ht="31.5" x14ac:dyDescent="0.25">
      <c r="A5" s="3">
        <v>4</v>
      </c>
      <c r="B5" s="51" t="s">
        <v>100</v>
      </c>
      <c r="C5" s="3" t="s">
        <v>181</v>
      </c>
      <c r="D5" s="51" t="s">
        <v>220</v>
      </c>
    </row>
    <row r="6" spans="1:4" x14ac:dyDescent="0.25">
      <c r="A6" s="3">
        <v>5</v>
      </c>
      <c r="B6" s="51" t="s">
        <v>101</v>
      </c>
      <c r="C6" s="3" t="s">
        <v>181</v>
      </c>
      <c r="D6" s="51" t="s">
        <v>199</v>
      </c>
    </row>
    <row r="7" spans="1:4" x14ac:dyDescent="0.25">
      <c r="A7" s="3">
        <v>6</v>
      </c>
      <c r="B7" s="51" t="s">
        <v>102</v>
      </c>
      <c r="C7" s="3" t="s">
        <v>181</v>
      </c>
      <c r="D7" s="51" t="s">
        <v>200</v>
      </c>
    </row>
    <row r="8" spans="1:4" ht="31.5" x14ac:dyDescent="0.25">
      <c r="A8" s="3">
        <v>7</v>
      </c>
      <c r="B8" s="51" t="s">
        <v>182</v>
      </c>
      <c r="C8" s="3" t="s">
        <v>187</v>
      </c>
      <c r="D8" s="51" t="s">
        <v>201</v>
      </c>
    </row>
    <row r="9" spans="1:4" ht="31.5" x14ac:dyDescent="0.25">
      <c r="A9" s="3">
        <v>8</v>
      </c>
      <c r="B9" s="51" t="s">
        <v>183</v>
      </c>
      <c r="C9" s="3" t="s">
        <v>187</v>
      </c>
      <c r="D9" s="51" t="s">
        <v>202</v>
      </c>
    </row>
    <row r="10" spans="1:4" ht="31.5" x14ac:dyDescent="0.25">
      <c r="A10" s="3">
        <v>9</v>
      </c>
      <c r="B10" s="51" t="s">
        <v>184</v>
      </c>
      <c r="C10" s="3" t="s">
        <v>187</v>
      </c>
      <c r="D10" s="51" t="s">
        <v>203</v>
      </c>
    </row>
    <row r="11" spans="1:4" ht="31.5" x14ac:dyDescent="0.25">
      <c r="A11" s="3">
        <v>10</v>
      </c>
      <c r="B11" s="51" t="s">
        <v>185</v>
      </c>
      <c r="C11" s="3" t="s">
        <v>187</v>
      </c>
      <c r="D11" s="51" t="s">
        <v>204</v>
      </c>
    </row>
    <row r="12" spans="1:4" ht="31.5" x14ac:dyDescent="0.25">
      <c r="A12" s="3">
        <v>11</v>
      </c>
      <c r="B12" s="51" t="s">
        <v>186</v>
      </c>
      <c r="C12" s="3" t="s">
        <v>187</v>
      </c>
      <c r="D12" s="51" t="s">
        <v>205</v>
      </c>
    </row>
    <row r="13" spans="1:4" ht="31.5" x14ac:dyDescent="0.25">
      <c r="A13" s="3">
        <v>12</v>
      </c>
      <c r="B13" s="51" t="s">
        <v>210</v>
      </c>
      <c r="C13" s="3" t="s">
        <v>211</v>
      </c>
      <c r="D13" s="51" t="s">
        <v>212</v>
      </c>
    </row>
    <row r="14" spans="1:4" ht="63" x14ac:dyDescent="0.25">
      <c r="A14" s="3">
        <v>13</v>
      </c>
      <c r="B14" s="51" t="s">
        <v>55</v>
      </c>
      <c r="C14" s="3" t="s">
        <v>195</v>
      </c>
      <c r="D14" s="51" t="s">
        <v>206</v>
      </c>
    </row>
    <row r="15" spans="1:4" ht="47.25" x14ac:dyDescent="0.25">
      <c r="A15" s="3">
        <v>14</v>
      </c>
      <c r="B15" s="51" t="s">
        <v>208</v>
      </c>
      <c r="C15" s="3" t="s">
        <v>207</v>
      </c>
      <c r="D15" s="51" t="s">
        <v>209</v>
      </c>
    </row>
    <row r="16" spans="1:4" ht="31.5" x14ac:dyDescent="0.25">
      <c r="A16" s="3">
        <v>15</v>
      </c>
      <c r="B16" s="51" t="s">
        <v>213</v>
      </c>
      <c r="C16" s="3" t="s">
        <v>218</v>
      </c>
      <c r="D16" s="51" t="s">
        <v>214</v>
      </c>
    </row>
    <row r="17" spans="1:4" ht="31.5" x14ac:dyDescent="0.25">
      <c r="A17" s="3">
        <v>16</v>
      </c>
      <c r="B17" s="51" t="s">
        <v>87</v>
      </c>
      <c r="C17" s="3" t="s">
        <v>218</v>
      </c>
      <c r="D17" s="51" t="s">
        <v>215</v>
      </c>
    </row>
  </sheetData>
  <sheetProtection algorithmName="SHA-512" hashValue="dXrzj4t2KuPJQxQ+HhEmZEpg1NvFTF/HuZmi9nB47Pr0nWDdGUzOnb2mdjjY0FJRY/woi9w8/Bte0ajfSelBKA==" saltValue="ibWkUbvvGHIxJt4syhVki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C29"/>
  <sheetViews>
    <sheetView showGridLines="0" tabSelected="1" zoomScale="85" zoomScaleNormal="85" workbookViewId="0">
      <selection activeCell="C23" sqref="C23"/>
    </sheetView>
  </sheetViews>
  <sheetFormatPr defaultRowHeight="15.75" x14ac:dyDescent="0.25"/>
  <cols>
    <col min="1" max="1" width="23.75" style="16" bestFit="1" customWidth="1"/>
    <col min="2" max="2" width="18" style="16" bestFit="1" customWidth="1"/>
    <col min="3" max="3" width="16.375" style="16" bestFit="1" customWidth="1"/>
    <col min="4" max="16384" width="9" style="16"/>
  </cols>
  <sheetData>
    <row r="1" spans="1:3" x14ac:dyDescent="0.25">
      <c r="A1" s="57" t="str">
        <f>"International Transactions for the month" &amp;" "&amp;'Home Page'!$C$5</f>
        <v>International Transactions for the month Ashwin</v>
      </c>
    </row>
    <row r="2" spans="1:3" x14ac:dyDescent="0.25">
      <c r="A2" s="57" t="s">
        <v>13</v>
      </c>
      <c r="B2" s="57" t="s">
        <v>58</v>
      </c>
      <c r="C2" s="57" t="s">
        <v>73</v>
      </c>
    </row>
    <row r="3" spans="1:3" x14ac:dyDescent="0.25">
      <c r="A3" s="57" t="s">
        <v>6</v>
      </c>
      <c r="B3" s="56"/>
      <c r="C3" s="56"/>
    </row>
    <row r="4" spans="1:3" x14ac:dyDescent="0.25">
      <c r="A4" s="56" t="s">
        <v>0</v>
      </c>
      <c r="B4" s="56"/>
      <c r="C4" s="56"/>
    </row>
    <row r="5" spans="1:3" x14ac:dyDescent="0.25">
      <c r="A5" s="56" t="s">
        <v>1</v>
      </c>
      <c r="B5" s="55"/>
      <c r="C5" s="55"/>
    </row>
    <row r="6" spans="1:3" x14ac:dyDescent="0.25">
      <c r="A6" s="56" t="s">
        <v>2</v>
      </c>
      <c r="B6" s="55"/>
      <c r="C6" s="55"/>
    </row>
    <row r="7" spans="1:3" x14ac:dyDescent="0.25">
      <c r="A7" s="56" t="s">
        <v>3</v>
      </c>
      <c r="B7" s="55"/>
      <c r="C7" s="55"/>
    </row>
    <row r="8" spans="1:3" x14ac:dyDescent="0.25">
      <c r="A8" s="56" t="s">
        <v>4</v>
      </c>
      <c r="B8" s="56"/>
      <c r="C8" s="56"/>
    </row>
    <row r="9" spans="1:3" x14ac:dyDescent="0.25">
      <c r="A9" s="56" t="s">
        <v>5</v>
      </c>
      <c r="B9" s="55"/>
      <c r="C9" s="55"/>
    </row>
    <row r="10" spans="1:3" x14ac:dyDescent="0.25">
      <c r="A10" s="56" t="s">
        <v>7</v>
      </c>
      <c r="B10" s="55"/>
      <c r="C10" s="55"/>
    </row>
    <row r="11" spans="1:3" x14ac:dyDescent="0.25">
      <c r="A11" s="56" t="s">
        <v>74</v>
      </c>
      <c r="B11" s="55"/>
      <c r="C11" s="55"/>
    </row>
    <row r="12" spans="1:3" x14ac:dyDescent="0.25">
      <c r="A12" s="56"/>
      <c r="B12" s="56"/>
      <c r="C12" s="56"/>
    </row>
    <row r="13" spans="1:3" s="58" customFormat="1" x14ac:dyDescent="0.25">
      <c r="A13" s="57" t="s">
        <v>8</v>
      </c>
      <c r="B13" s="57"/>
      <c r="C13" s="57"/>
    </row>
    <row r="14" spans="1:3" x14ac:dyDescent="0.25">
      <c r="A14" s="56" t="s">
        <v>0</v>
      </c>
      <c r="B14" s="56"/>
      <c r="C14" s="56"/>
    </row>
    <row r="15" spans="1:3" x14ac:dyDescent="0.25">
      <c r="A15" s="56" t="s">
        <v>1</v>
      </c>
      <c r="B15" s="55">
        <v>847</v>
      </c>
      <c r="C15" s="76">
        <v>10091269.120000001</v>
      </c>
    </row>
    <row r="16" spans="1:3" x14ac:dyDescent="0.25">
      <c r="A16" s="56" t="s">
        <v>2</v>
      </c>
      <c r="B16" s="55">
        <v>12</v>
      </c>
      <c r="C16" s="55">
        <v>15372.539999999997</v>
      </c>
    </row>
    <row r="17" spans="1:3" x14ac:dyDescent="0.25">
      <c r="A17" s="56" t="s">
        <v>3</v>
      </c>
      <c r="B17" s="55">
        <v>428</v>
      </c>
      <c r="C17" s="55">
        <v>7263.22</v>
      </c>
    </row>
    <row r="18" spans="1:3" x14ac:dyDescent="0.25">
      <c r="A18" s="56" t="s">
        <v>4</v>
      </c>
      <c r="B18" s="56"/>
      <c r="C18" s="56"/>
    </row>
    <row r="19" spans="1:3" x14ac:dyDescent="0.25">
      <c r="A19" s="56" t="s">
        <v>5</v>
      </c>
      <c r="B19" s="55">
        <v>313</v>
      </c>
      <c r="C19" s="55">
        <v>3290072.45</v>
      </c>
    </row>
    <row r="20" spans="1:3" x14ac:dyDescent="0.25">
      <c r="A20" s="56" t="s">
        <v>7</v>
      </c>
      <c r="B20" s="55">
        <v>19</v>
      </c>
      <c r="C20" s="55">
        <v>49142.41</v>
      </c>
    </row>
    <row r="21" spans="1:3" x14ac:dyDescent="0.25">
      <c r="A21" s="56" t="s">
        <v>74</v>
      </c>
      <c r="B21" s="55">
        <v>527</v>
      </c>
      <c r="C21" s="55">
        <v>6767426.7999999998</v>
      </c>
    </row>
    <row r="22" spans="1:3" x14ac:dyDescent="0.25">
      <c r="A22" s="56"/>
      <c r="B22" s="56"/>
      <c r="C22" s="56"/>
    </row>
    <row r="23" spans="1:3" x14ac:dyDescent="0.25">
      <c r="A23" s="57" t="s">
        <v>9</v>
      </c>
      <c r="B23" s="55">
        <v>1028</v>
      </c>
      <c r="C23" s="55">
        <v>2526746.1</v>
      </c>
    </row>
    <row r="24" spans="1:3" x14ac:dyDescent="0.25">
      <c r="A24" s="57"/>
      <c r="B24" s="56"/>
      <c r="C24" s="56"/>
    </row>
    <row r="25" spans="1:3" x14ac:dyDescent="0.25">
      <c r="A25" s="57" t="s">
        <v>10</v>
      </c>
      <c r="B25" s="55"/>
      <c r="C25" s="55"/>
    </row>
    <row r="26" spans="1:3" x14ac:dyDescent="0.25">
      <c r="A26" s="57"/>
      <c r="B26" s="56"/>
      <c r="C26" s="56"/>
    </row>
    <row r="27" spans="1:3" x14ac:dyDescent="0.25">
      <c r="A27" s="57" t="s">
        <v>11</v>
      </c>
      <c r="B27" s="55"/>
      <c r="C27" s="55"/>
    </row>
    <row r="28" spans="1:3" x14ac:dyDescent="0.25">
      <c r="A28" s="57"/>
      <c r="B28" s="56"/>
      <c r="C28" s="56"/>
    </row>
    <row r="29" spans="1:3" x14ac:dyDescent="0.25">
      <c r="A29" s="57" t="s">
        <v>12</v>
      </c>
      <c r="B29" s="55"/>
      <c r="C29" s="55"/>
    </row>
  </sheetData>
  <sheetProtection algorithmName="SHA-512" hashValue="qBsBzk/PgnCJ3rv6JWxDM+eNWpeRiKPiVs8d9kvgOUEXbbYPi1IbgS+PNtWirRWfO8tWyQ3ErUv5j+XRV11oUA==" saltValue="084i3zQ+QRho1PColdy+Zg==" spinCount="100000" sheet="1" objects="1" scenarios="1"/>
  <dataValidations count="1">
    <dataValidation type="decimal" allowBlank="1" showInputMessage="1" showErrorMessage="1" sqref="B5:C7 B9:C11 B15:C17 B19:C21 B23:C23 B25:C25 B27:C27 B29:C29" xr:uid="{00000000-0002-0000-0200-000000000000}">
      <formula1>0</formula1>
      <formula2>1E+42</formula2>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C10"/>
  <sheetViews>
    <sheetView showGridLines="0" workbookViewId="0">
      <selection activeCell="C9" sqref="C9"/>
    </sheetView>
  </sheetViews>
  <sheetFormatPr defaultRowHeight="15.75" x14ac:dyDescent="0.25"/>
  <cols>
    <col min="1" max="1" width="37.5" style="16" bestFit="1" customWidth="1"/>
    <col min="2" max="2" width="18" style="16" bestFit="1" customWidth="1"/>
    <col min="3" max="3" width="16.375" style="16" bestFit="1" customWidth="1"/>
    <col min="4" max="16384" width="9" style="16"/>
  </cols>
  <sheetData>
    <row r="1" spans="1:3" x14ac:dyDescent="0.25">
      <c r="A1" s="59" t="str">
        <f>"Domestic Transactions for the month"&amp;" "&amp;'Home Page'!$C$5</f>
        <v>Domestic Transactions for the month Ashwin</v>
      </c>
      <c r="B1" s="60"/>
      <c r="C1" s="60"/>
    </row>
    <row r="2" spans="1:3" x14ac:dyDescent="0.25">
      <c r="A2" s="61" t="s">
        <v>13</v>
      </c>
      <c r="B2" s="57" t="s">
        <v>58</v>
      </c>
      <c r="C2" s="57" t="s">
        <v>73</v>
      </c>
    </row>
    <row r="3" spans="1:3" x14ac:dyDescent="0.25">
      <c r="A3" s="57" t="s">
        <v>57</v>
      </c>
      <c r="B3" s="56"/>
      <c r="C3" s="56"/>
    </row>
    <row r="4" spans="1:3" x14ac:dyDescent="0.25">
      <c r="A4" s="56" t="s">
        <v>75</v>
      </c>
      <c r="B4" s="55">
        <v>751</v>
      </c>
      <c r="C4" s="76">
        <v>7704500</v>
      </c>
    </row>
    <row r="5" spans="1:3" x14ac:dyDescent="0.25">
      <c r="A5" s="56" t="s">
        <v>76</v>
      </c>
      <c r="B5" s="55">
        <v>730</v>
      </c>
      <c r="C5" s="76">
        <v>1064069.2999999996</v>
      </c>
    </row>
    <row r="6" spans="1:3" x14ac:dyDescent="0.25">
      <c r="A6" s="56"/>
      <c r="B6" s="56"/>
      <c r="C6" s="56"/>
    </row>
    <row r="7" spans="1:3" x14ac:dyDescent="0.25">
      <c r="A7" s="57" t="s">
        <v>14</v>
      </c>
      <c r="B7" s="56"/>
      <c r="C7" s="56"/>
    </row>
    <row r="8" spans="1:3" x14ac:dyDescent="0.25">
      <c r="A8" s="56" t="s">
        <v>15</v>
      </c>
      <c r="B8" s="55"/>
      <c r="C8" s="55"/>
    </row>
    <row r="9" spans="1:3" x14ac:dyDescent="0.25">
      <c r="A9" s="56" t="s">
        <v>16</v>
      </c>
      <c r="B9" s="55">
        <v>331258</v>
      </c>
      <c r="C9" s="55">
        <v>670992851.16000009</v>
      </c>
    </row>
    <row r="10" spans="1:3" x14ac:dyDescent="0.25">
      <c r="A10" s="56" t="s">
        <v>77</v>
      </c>
      <c r="B10" s="55"/>
      <c r="C10" s="55"/>
    </row>
  </sheetData>
  <sheetProtection algorithmName="SHA-512" hashValue="DM1/iyXw8XUE89wqqKSaAapDmHzEQJLGlGhjEdHf9tpt93QgmC5B7cf+SdKQLagDMHe71mz899ZjeonWeKKuHw==" saltValue="mCAkKGhM9ijA6mcZJ4TpWw==" spinCount="100000" sheet="1" objects="1" scenarios="1"/>
  <dataValidations count="1">
    <dataValidation type="decimal" allowBlank="1" showInputMessage="1" showErrorMessage="1" sqref="B4:C5 B8:C10" xr:uid="{00000000-0002-0000-0300-000000000000}">
      <formula1>0</formula1>
      <formula2>1E+30</formula2>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H10"/>
  <sheetViews>
    <sheetView showGridLines="0" workbookViewId="0">
      <selection activeCell="E14" sqref="E14"/>
    </sheetView>
  </sheetViews>
  <sheetFormatPr defaultRowHeight="15.75" x14ac:dyDescent="0.25"/>
  <cols>
    <col min="1" max="1" width="48" style="16" customWidth="1"/>
    <col min="2" max="2" width="15.875" style="16" bestFit="1" customWidth="1"/>
    <col min="3" max="3" width="9" style="16"/>
    <col min="4" max="4" width="35.375" style="16" bestFit="1" customWidth="1"/>
    <col min="5" max="5" width="15.875" style="16" bestFit="1" customWidth="1"/>
    <col min="6" max="6" width="9.125" style="16" customWidth="1"/>
    <col min="7" max="7" width="38.625" style="16" bestFit="1" customWidth="1"/>
    <col min="8" max="8" width="15.875" style="16" bestFit="1" customWidth="1"/>
    <col min="9" max="9" width="9.125" style="16" customWidth="1"/>
    <col min="10" max="16384" width="9" style="16"/>
  </cols>
  <sheetData>
    <row r="1" spans="1:8" x14ac:dyDescent="0.25">
      <c r="A1" s="59" t="s">
        <v>193</v>
      </c>
      <c r="B1" s="60"/>
      <c r="C1" s="60"/>
      <c r="D1" s="60"/>
      <c r="E1" s="60"/>
      <c r="F1" s="60"/>
      <c r="G1" s="60"/>
      <c r="H1" s="60"/>
    </row>
    <row r="2" spans="1:8" x14ac:dyDescent="0.25">
      <c r="A2" s="57" t="s">
        <v>21</v>
      </c>
      <c r="B2" s="57" t="s">
        <v>29</v>
      </c>
      <c r="D2" s="57" t="s">
        <v>32</v>
      </c>
      <c r="E2" s="57" t="s">
        <v>29</v>
      </c>
      <c r="G2" s="57" t="s">
        <v>35</v>
      </c>
      <c r="H2" s="57" t="s">
        <v>29</v>
      </c>
    </row>
    <row r="3" spans="1:8" x14ac:dyDescent="0.25">
      <c r="A3" s="56" t="s">
        <v>23</v>
      </c>
      <c r="B3" s="55"/>
      <c r="D3" s="56" t="s">
        <v>23</v>
      </c>
      <c r="E3" s="55">
        <v>3392</v>
      </c>
      <c r="G3" s="56" t="s">
        <v>23</v>
      </c>
      <c r="H3" s="55"/>
    </row>
    <row r="4" spans="1:8" x14ac:dyDescent="0.25">
      <c r="A4" s="56" t="s">
        <v>24</v>
      </c>
      <c r="B4" s="55"/>
      <c r="D4" s="56" t="s">
        <v>24</v>
      </c>
      <c r="E4" s="55">
        <v>2736</v>
      </c>
      <c r="G4" s="56" t="s">
        <v>24</v>
      </c>
      <c r="H4" s="55"/>
    </row>
    <row r="5" spans="1:8" x14ac:dyDescent="0.25">
      <c r="A5" s="56" t="s">
        <v>22</v>
      </c>
      <c r="B5" s="55"/>
      <c r="D5" s="56" t="s">
        <v>22</v>
      </c>
      <c r="E5" s="55">
        <v>12014</v>
      </c>
      <c r="G5" s="56" t="s">
        <v>22</v>
      </c>
      <c r="H5" s="55"/>
    </row>
    <row r="6" spans="1:8" x14ac:dyDescent="0.25">
      <c r="A6" s="56" t="s">
        <v>25</v>
      </c>
      <c r="B6" s="55"/>
      <c r="D6" s="56" t="s">
        <v>25</v>
      </c>
      <c r="E6" s="55">
        <v>2450</v>
      </c>
      <c r="G6" s="56" t="s">
        <v>25</v>
      </c>
      <c r="H6" s="55"/>
    </row>
    <row r="7" spans="1:8" x14ac:dyDescent="0.25">
      <c r="A7" s="56" t="s">
        <v>26</v>
      </c>
      <c r="B7" s="55"/>
      <c r="D7" s="56" t="s">
        <v>26</v>
      </c>
      <c r="E7" s="55">
        <v>7271</v>
      </c>
      <c r="G7" s="56" t="s">
        <v>26</v>
      </c>
      <c r="H7" s="55"/>
    </row>
    <row r="8" spans="1:8" x14ac:dyDescent="0.25">
      <c r="A8" s="56" t="s">
        <v>27</v>
      </c>
      <c r="B8" s="55"/>
      <c r="D8" s="56" t="s">
        <v>27</v>
      </c>
      <c r="E8" s="55">
        <v>1079</v>
      </c>
      <c r="G8" s="56" t="s">
        <v>27</v>
      </c>
      <c r="H8" s="55"/>
    </row>
    <row r="9" spans="1:8" ht="16.5" thickBot="1" x14ac:dyDescent="0.3">
      <c r="A9" s="62" t="s">
        <v>28</v>
      </c>
      <c r="B9" s="65"/>
      <c r="D9" s="62" t="s">
        <v>28</v>
      </c>
      <c r="E9" s="65">
        <v>1175</v>
      </c>
      <c r="G9" s="56" t="s">
        <v>28</v>
      </c>
      <c r="H9" s="55"/>
    </row>
    <row r="10" spans="1:8" ht="16.5" thickBot="1" x14ac:dyDescent="0.3">
      <c r="A10" s="63" t="s">
        <v>72</v>
      </c>
      <c r="B10" s="64">
        <f>SUM(B3:B9)</f>
        <v>0</v>
      </c>
      <c r="D10" s="63" t="s">
        <v>72</v>
      </c>
      <c r="E10" s="64">
        <f>SUM(E3:E9)</f>
        <v>30117</v>
      </c>
      <c r="G10" s="63" t="s">
        <v>72</v>
      </c>
      <c r="H10" s="64">
        <f>SUM(H3:H9)</f>
        <v>0</v>
      </c>
    </row>
  </sheetData>
  <sheetProtection algorithmName="SHA-512" hashValue="5sRJkP8ldHd8rqdamgLWoY05h0C+z/FOTyGX16+ukCt0m5H6BHq9sxW1pZIPtrCftZiMZ1OxtXiLAYU7CwdgmA==" saltValue="fz+Tr1JxZyIM2FdooSeWuw==" spinCount="100000" sheet="1" objects="1" scenarios="1"/>
  <dataValidations count="1">
    <dataValidation type="whole" allowBlank="1" showInputMessage="1" showErrorMessage="1" sqref="B3:B9 E3:E9 H3:H9" xr:uid="{00000000-0002-0000-0400-000000000000}">
      <formula1>0</formula1>
      <formula2>1000000</formula2>
    </dataValidation>
  </dataValidations>
  <pageMargins left="0.7" right="0.7" top="0.75" bottom="0.75" header="0.3" footer="0.3"/>
  <pageSetup scale="47"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H7"/>
  <sheetViews>
    <sheetView showGridLines="0" workbookViewId="0">
      <selection activeCell="E4" sqref="E4"/>
    </sheetView>
  </sheetViews>
  <sheetFormatPr defaultRowHeight="15.75" x14ac:dyDescent="0.25"/>
  <cols>
    <col min="1" max="1" width="38.25" style="16" bestFit="1" customWidth="1"/>
    <col min="2" max="2" width="15.875" style="16" bestFit="1" customWidth="1"/>
    <col min="3" max="3" width="9" style="16"/>
    <col min="4" max="4" width="37.125" style="16" bestFit="1" customWidth="1"/>
    <col min="5" max="5" width="15.875" style="16" bestFit="1" customWidth="1"/>
    <col min="6" max="6" width="9" style="16"/>
    <col min="7" max="7" width="40.375" style="16" bestFit="1" customWidth="1"/>
    <col min="8" max="8" width="15.875" style="16" bestFit="1" customWidth="1"/>
    <col min="9" max="16384" width="9" style="16"/>
  </cols>
  <sheetData>
    <row r="1" spans="1:8" x14ac:dyDescent="0.25">
      <c r="A1" s="59" t="s">
        <v>192</v>
      </c>
      <c r="B1" s="60"/>
      <c r="C1" s="60"/>
      <c r="D1" s="60"/>
      <c r="E1" s="60"/>
      <c r="F1" s="60"/>
      <c r="G1" s="60"/>
      <c r="H1" s="60"/>
    </row>
    <row r="2" spans="1:8" x14ac:dyDescent="0.25">
      <c r="A2" s="57" t="s">
        <v>30</v>
      </c>
      <c r="B2" s="57" t="s">
        <v>29</v>
      </c>
      <c r="D2" s="57" t="s">
        <v>33</v>
      </c>
      <c r="E2" s="57" t="s">
        <v>29</v>
      </c>
      <c r="G2" s="57" t="s">
        <v>36</v>
      </c>
      <c r="H2" s="57" t="s">
        <v>29</v>
      </c>
    </row>
    <row r="3" spans="1:8" x14ac:dyDescent="0.25">
      <c r="A3" s="56" t="s">
        <v>17</v>
      </c>
      <c r="B3" s="55"/>
      <c r="D3" s="56" t="s">
        <v>17</v>
      </c>
      <c r="E3" s="55">
        <v>5539</v>
      </c>
      <c r="G3" s="56" t="s">
        <v>17</v>
      </c>
      <c r="H3" s="55"/>
    </row>
    <row r="4" spans="1:8" x14ac:dyDescent="0.25">
      <c r="A4" s="56" t="s">
        <v>18</v>
      </c>
      <c r="B4" s="55"/>
      <c r="D4" s="56" t="s">
        <v>18</v>
      </c>
      <c r="E4" s="55">
        <v>3868</v>
      </c>
      <c r="G4" s="56" t="s">
        <v>18</v>
      </c>
      <c r="H4" s="55"/>
    </row>
    <row r="5" spans="1:8" x14ac:dyDescent="0.25">
      <c r="A5" s="56" t="s">
        <v>19</v>
      </c>
      <c r="B5" s="55"/>
      <c r="D5" s="56" t="s">
        <v>19</v>
      </c>
      <c r="E5" s="55">
        <v>15410</v>
      </c>
      <c r="G5" s="56" t="s">
        <v>19</v>
      </c>
      <c r="H5" s="55"/>
    </row>
    <row r="6" spans="1:8" ht="16.5" thickBot="1" x14ac:dyDescent="0.3">
      <c r="A6" s="62" t="s">
        <v>20</v>
      </c>
      <c r="B6" s="65"/>
      <c r="D6" s="62" t="s">
        <v>20</v>
      </c>
      <c r="E6" s="65">
        <v>5300</v>
      </c>
      <c r="G6" s="56" t="s">
        <v>20</v>
      </c>
      <c r="H6" s="55"/>
    </row>
    <row r="7" spans="1:8" ht="16.5" thickBot="1" x14ac:dyDescent="0.3">
      <c r="A7" s="66" t="s">
        <v>72</v>
      </c>
      <c r="B7" s="67">
        <f>SUM(B3:B6)</f>
        <v>0</v>
      </c>
      <c r="D7" s="66" t="s">
        <v>72</v>
      </c>
      <c r="E7" s="67">
        <f>SUM(E3:E6)</f>
        <v>30117</v>
      </c>
      <c r="G7" s="66" t="s">
        <v>72</v>
      </c>
      <c r="H7" s="67">
        <f>SUM(H3:H6)</f>
        <v>0</v>
      </c>
    </row>
  </sheetData>
  <sheetProtection algorithmName="SHA-512" hashValue="3nXrd5tMJDj6blynWo8iMoSUq9YWQQOXpjXMrYvc2l8UYeUsd5uy4SjGGshoYVsFbMMKPDfLER2F0x+AWbNcjg==" saltValue="xtUuww11YmG7Xuif2G1gFw==" spinCount="100000" sheet="1" objects="1" scenarios="1"/>
  <dataValidations count="1">
    <dataValidation type="whole" allowBlank="1" showInputMessage="1" showErrorMessage="1" sqref="B3:B6 E3:E6 H3:H6" xr:uid="{00000000-0002-0000-0500-000000000000}">
      <formula1>0</formula1>
      <formula2>10000000000000</formula2>
    </dataValidation>
  </dataValidations>
  <pageMargins left="0.7" right="0.7" top="0.75" bottom="0.75" header="0.3" footer="0.3"/>
  <pageSetup scale="47"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H80"/>
  <sheetViews>
    <sheetView showGridLines="0" workbookViewId="0">
      <pane ySplit="2" topLeftCell="A3" activePane="bottomLeft" state="frozen"/>
      <selection activeCell="E16" sqref="E16"/>
      <selection pane="bottomLeft" activeCell="D9" sqref="D9"/>
    </sheetView>
  </sheetViews>
  <sheetFormatPr defaultRowHeight="15.75" x14ac:dyDescent="0.25"/>
  <cols>
    <col min="1" max="1" width="35" style="16" bestFit="1" customWidth="1"/>
    <col min="2" max="2" width="15.875" style="16" bestFit="1" customWidth="1"/>
    <col min="3" max="3" width="9" style="16"/>
    <col min="4" max="4" width="34" style="16" bestFit="1" customWidth="1"/>
    <col min="5" max="5" width="15.875" style="16" bestFit="1" customWidth="1"/>
    <col min="6" max="6" width="9" style="16"/>
    <col min="7" max="7" width="37.125" style="16" bestFit="1" customWidth="1"/>
    <col min="8" max="8" width="15.875" style="16" bestFit="1" customWidth="1"/>
    <col min="9" max="16384" width="9" style="16"/>
  </cols>
  <sheetData>
    <row r="1" spans="1:8" s="70" customFormat="1" ht="28.5" customHeight="1" x14ac:dyDescent="0.25">
      <c r="A1" s="68" t="s">
        <v>191</v>
      </c>
      <c r="B1" s="69"/>
      <c r="C1" s="69"/>
      <c r="D1" s="69"/>
      <c r="E1" s="69"/>
      <c r="F1" s="69"/>
      <c r="G1" s="69"/>
      <c r="H1" s="69"/>
    </row>
    <row r="2" spans="1:8" x14ac:dyDescent="0.25">
      <c r="A2" s="57" t="s">
        <v>31</v>
      </c>
      <c r="B2" s="57" t="s">
        <v>29</v>
      </c>
      <c r="D2" s="57" t="s">
        <v>34</v>
      </c>
      <c r="E2" s="57" t="s">
        <v>29</v>
      </c>
      <c r="G2" s="57" t="s">
        <v>37</v>
      </c>
      <c r="H2" s="57" t="s">
        <v>29</v>
      </c>
    </row>
    <row r="3" spans="1:8" x14ac:dyDescent="0.25">
      <c r="A3" s="56" t="s">
        <v>104</v>
      </c>
      <c r="B3" s="55"/>
      <c r="D3" s="56" t="s">
        <v>104</v>
      </c>
      <c r="E3" s="55">
        <v>0</v>
      </c>
      <c r="G3" s="56" t="s">
        <v>104</v>
      </c>
      <c r="H3" s="55"/>
    </row>
    <row r="4" spans="1:8" x14ac:dyDescent="0.25">
      <c r="A4" s="56" t="s">
        <v>105</v>
      </c>
      <c r="B4" s="55"/>
      <c r="D4" s="56" t="s">
        <v>105</v>
      </c>
      <c r="E4" s="55">
        <v>5</v>
      </c>
      <c r="G4" s="56" t="s">
        <v>105</v>
      </c>
      <c r="H4" s="55"/>
    </row>
    <row r="5" spans="1:8" x14ac:dyDescent="0.25">
      <c r="A5" s="56" t="s">
        <v>106</v>
      </c>
      <c r="B5" s="55"/>
      <c r="D5" s="56" t="s">
        <v>106</v>
      </c>
      <c r="E5" s="55">
        <v>203</v>
      </c>
      <c r="G5" s="56" t="s">
        <v>106</v>
      </c>
      <c r="H5" s="55"/>
    </row>
    <row r="6" spans="1:8" x14ac:dyDescent="0.25">
      <c r="A6" s="56" t="s">
        <v>107</v>
      </c>
      <c r="B6" s="55"/>
      <c r="D6" s="56" t="s">
        <v>107</v>
      </c>
      <c r="E6" s="55">
        <v>616</v>
      </c>
      <c r="G6" s="56" t="s">
        <v>107</v>
      </c>
      <c r="H6" s="55"/>
    </row>
    <row r="7" spans="1:8" x14ac:dyDescent="0.25">
      <c r="A7" s="56" t="s">
        <v>108</v>
      </c>
      <c r="B7" s="55"/>
      <c r="D7" s="56" t="s">
        <v>108</v>
      </c>
      <c r="E7" s="55">
        <v>145</v>
      </c>
      <c r="G7" s="56" t="s">
        <v>108</v>
      </c>
      <c r="H7" s="55"/>
    </row>
    <row r="8" spans="1:8" x14ac:dyDescent="0.25">
      <c r="A8" s="56" t="s">
        <v>109</v>
      </c>
      <c r="B8" s="55"/>
      <c r="D8" s="56" t="s">
        <v>109</v>
      </c>
      <c r="E8" s="55">
        <v>770</v>
      </c>
      <c r="G8" s="56" t="s">
        <v>109</v>
      </c>
      <c r="H8" s="55"/>
    </row>
    <row r="9" spans="1:8" x14ac:dyDescent="0.25">
      <c r="A9" s="56" t="s">
        <v>110</v>
      </c>
      <c r="B9" s="55"/>
      <c r="D9" s="56" t="s">
        <v>110</v>
      </c>
      <c r="E9" s="55">
        <v>2</v>
      </c>
      <c r="G9" s="56" t="s">
        <v>110</v>
      </c>
      <c r="H9" s="55"/>
    </row>
    <row r="10" spans="1:8" x14ac:dyDescent="0.25">
      <c r="A10" s="56" t="s">
        <v>111</v>
      </c>
      <c r="B10" s="55"/>
      <c r="D10" s="56" t="s">
        <v>111</v>
      </c>
      <c r="E10" s="55">
        <v>1</v>
      </c>
      <c r="G10" s="56" t="s">
        <v>111</v>
      </c>
      <c r="H10" s="55"/>
    </row>
    <row r="11" spans="1:8" x14ac:dyDescent="0.25">
      <c r="A11" s="56" t="s">
        <v>112</v>
      </c>
      <c r="B11" s="55"/>
      <c r="D11" s="56" t="s">
        <v>112</v>
      </c>
      <c r="E11" s="55">
        <v>1</v>
      </c>
      <c r="G11" s="56" t="s">
        <v>112</v>
      </c>
      <c r="H11" s="55"/>
    </row>
    <row r="12" spans="1:8" x14ac:dyDescent="0.25">
      <c r="A12" s="56" t="s">
        <v>113</v>
      </c>
      <c r="B12" s="55"/>
      <c r="D12" s="56" t="s">
        <v>113</v>
      </c>
      <c r="E12" s="55">
        <v>5</v>
      </c>
      <c r="G12" s="56" t="s">
        <v>113</v>
      </c>
      <c r="H12" s="55"/>
    </row>
    <row r="13" spans="1:8" x14ac:dyDescent="0.25">
      <c r="A13" s="56" t="s">
        <v>114</v>
      </c>
      <c r="B13" s="55"/>
      <c r="D13" s="56" t="s">
        <v>114</v>
      </c>
      <c r="E13" s="55">
        <v>770</v>
      </c>
      <c r="G13" s="56" t="s">
        <v>114</v>
      </c>
      <c r="H13" s="55"/>
    </row>
    <row r="14" spans="1:8" x14ac:dyDescent="0.25">
      <c r="A14" s="56" t="s">
        <v>115</v>
      </c>
      <c r="B14" s="55"/>
      <c r="D14" s="56" t="s">
        <v>115</v>
      </c>
      <c r="E14" s="55">
        <v>0</v>
      </c>
      <c r="G14" s="56" t="s">
        <v>115</v>
      </c>
      <c r="H14" s="55"/>
    </row>
    <row r="15" spans="1:8" x14ac:dyDescent="0.25">
      <c r="A15" s="56" t="s">
        <v>116</v>
      </c>
      <c r="B15" s="55"/>
      <c r="D15" s="56" t="s">
        <v>116</v>
      </c>
      <c r="E15" s="55">
        <v>0</v>
      </c>
      <c r="G15" s="56" t="s">
        <v>116</v>
      </c>
      <c r="H15" s="55"/>
    </row>
    <row r="16" spans="1:8" x14ac:dyDescent="0.25">
      <c r="A16" s="56" t="s">
        <v>117</v>
      </c>
      <c r="B16" s="55"/>
      <c r="D16" s="56" t="s">
        <v>117</v>
      </c>
      <c r="E16" s="55">
        <v>874</v>
      </c>
      <c r="G16" s="56" t="s">
        <v>117</v>
      </c>
      <c r="H16" s="55"/>
    </row>
    <row r="17" spans="1:8" x14ac:dyDescent="0.25">
      <c r="A17" s="56" t="s">
        <v>118</v>
      </c>
      <c r="B17" s="55"/>
      <c r="D17" s="56" t="s">
        <v>118</v>
      </c>
      <c r="E17" s="55">
        <v>624</v>
      </c>
      <c r="G17" s="56" t="s">
        <v>118</v>
      </c>
      <c r="H17" s="55"/>
    </row>
    <row r="18" spans="1:8" x14ac:dyDescent="0.25">
      <c r="A18" s="56" t="s">
        <v>119</v>
      </c>
      <c r="B18" s="55"/>
      <c r="D18" s="56" t="s">
        <v>119</v>
      </c>
      <c r="E18" s="55">
        <v>542</v>
      </c>
      <c r="G18" s="56" t="s">
        <v>119</v>
      </c>
      <c r="H18" s="55"/>
    </row>
    <row r="19" spans="1:8" x14ac:dyDescent="0.25">
      <c r="A19" s="56" t="s">
        <v>120</v>
      </c>
      <c r="B19" s="55"/>
      <c r="D19" s="56" t="s">
        <v>120</v>
      </c>
      <c r="E19" s="55">
        <v>180</v>
      </c>
      <c r="G19" s="56" t="s">
        <v>120</v>
      </c>
      <c r="H19" s="55"/>
    </row>
    <row r="20" spans="1:8" x14ac:dyDescent="0.25">
      <c r="A20" s="56" t="s">
        <v>121</v>
      </c>
      <c r="B20" s="55"/>
      <c r="D20" s="56" t="s">
        <v>121</v>
      </c>
      <c r="E20" s="55">
        <v>187</v>
      </c>
      <c r="G20" s="56" t="s">
        <v>121</v>
      </c>
      <c r="H20" s="55"/>
    </row>
    <row r="21" spans="1:8" x14ac:dyDescent="0.25">
      <c r="A21" s="56" t="s">
        <v>122</v>
      </c>
      <c r="B21" s="55"/>
      <c r="D21" s="56" t="s">
        <v>122</v>
      </c>
      <c r="E21" s="55">
        <v>315</v>
      </c>
      <c r="G21" s="56" t="s">
        <v>122</v>
      </c>
      <c r="H21" s="55"/>
    </row>
    <row r="22" spans="1:8" x14ac:dyDescent="0.25">
      <c r="A22" s="56" t="s">
        <v>123</v>
      </c>
      <c r="B22" s="55"/>
      <c r="D22" s="56" t="s">
        <v>123</v>
      </c>
      <c r="E22" s="55">
        <v>329</v>
      </c>
      <c r="G22" s="56" t="s">
        <v>123</v>
      </c>
      <c r="H22" s="55"/>
    </row>
    <row r="23" spans="1:8" x14ac:dyDescent="0.25">
      <c r="A23" s="56" t="s">
        <v>124</v>
      </c>
      <c r="B23" s="55"/>
      <c r="D23" s="56" t="s">
        <v>124</v>
      </c>
      <c r="E23" s="55">
        <v>317</v>
      </c>
      <c r="G23" s="56" t="s">
        <v>124</v>
      </c>
      <c r="H23" s="55"/>
    </row>
    <row r="24" spans="1:8" x14ac:dyDescent="0.25">
      <c r="A24" s="56" t="s">
        <v>125</v>
      </c>
      <c r="B24" s="55"/>
      <c r="D24" s="56" t="s">
        <v>125</v>
      </c>
      <c r="E24" s="55">
        <v>150</v>
      </c>
      <c r="G24" s="56" t="s">
        <v>125</v>
      </c>
      <c r="H24" s="55"/>
    </row>
    <row r="25" spans="1:8" x14ac:dyDescent="0.25">
      <c r="A25" s="56" t="s">
        <v>126</v>
      </c>
      <c r="B25" s="55"/>
      <c r="D25" s="56" t="s">
        <v>126</v>
      </c>
      <c r="E25" s="55">
        <v>239</v>
      </c>
      <c r="G25" s="56" t="s">
        <v>126</v>
      </c>
      <c r="H25" s="55"/>
    </row>
    <row r="26" spans="1:8" x14ac:dyDescent="0.25">
      <c r="A26" s="56" t="s">
        <v>127</v>
      </c>
      <c r="B26" s="55"/>
      <c r="D26" s="56" t="s">
        <v>127</v>
      </c>
      <c r="E26" s="55">
        <v>4</v>
      </c>
      <c r="G26" s="56" t="s">
        <v>127</v>
      </c>
      <c r="H26" s="55"/>
    </row>
    <row r="27" spans="1:8" x14ac:dyDescent="0.25">
      <c r="A27" s="56" t="s">
        <v>128</v>
      </c>
      <c r="B27" s="55"/>
      <c r="D27" s="56" t="s">
        <v>128</v>
      </c>
      <c r="E27" s="55">
        <v>2</v>
      </c>
      <c r="G27" s="56" t="s">
        <v>128</v>
      </c>
      <c r="H27" s="55"/>
    </row>
    <row r="28" spans="1:8" x14ac:dyDescent="0.25">
      <c r="A28" s="56" t="s">
        <v>129</v>
      </c>
      <c r="B28" s="55"/>
      <c r="D28" s="56" t="s">
        <v>129</v>
      </c>
      <c r="E28" s="55">
        <v>577</v>
      </c>
      <c r="G28" s="56" t="s">
        <v>129</v>
      </c>
      <c r="H28" s="55"/>
    </row>
    <row r="29" spans="1:8" x14ac:dyDescent="0.25">
      <c r="A29" s="56" t="s">
        <v>130</v>
      </c>
      <c r="B29" s="55"/>
      <c r="D29" s="56" t="s">
        <v>130</v>
      </c>
      <c r="E29" s="55">
        <v>180</v>
      </c>
      <c r="G29" s="56" t="s">
        <v>130</v>
      </c>
      <c r="H29" s="55"/>
    </row>
    <row r="30" spans="1:8" x14ac:dyDescent="0.25">
      <c r="A30" s="56" t="s">
        <v>131</v>
      </c>
      <c r="B30" s="55"/>
      <c r="D30" s="56" t="s">
        <v>131</v>
      </c>
      <c r="E30" s="55">
        <v>6286</v>
      </c>
      <c r="G30" s="56" t="s">
        <v>131</v>
      </c>
      <c r="H30" s="55"/>
    </row>
    <row r="31" spans="1:8" x14ac:dyDescent="0.25">
      <c r="A31" s="56" t="s">
        <v>132</v>
      </c>
      <c r="B31" s="55"/>
      <c r="D31" s="56" t="s">
        <v>132</v>
      </c>
      <c r="E31" s="55">
        <v>215</v>
      </c>
      <c r="G31" s="56" t="s">
        <v>132</v>
      </c>
      <c r="H31" s="55"/>
    </row>
    <row r="32" spans="1:8" x14ac:dyDescent="0.25">
      <c r="A32" s="56" t="s">
        <v>133</v>
      </c>
      <c r="B32" s="55"/>
      <c r="D32" s="56" t="s">
        <v>133</v>
      </c>
      <c r="E32" s="55">
        <v>1078</v>
      </c>
      <c r="G32" s="56" t="s">
        <v>133</v>
      </c>
      <c r="H32" s="55"/>
    </row>
    <row r="33" spans="1:8" x14ac:dyDescent="0.25">
      <c r="A33" s="56" t="s">
        <v>134</v>
      </c>
      <c r="B33" s="55"/>
      <c r="D33" s="56" t="s">
        <v>134</v>
      </c>
      <c r="E33" s="55">
        <v>1729</v>
      </c>
      <c r="G33" s="56" t="s">
        <v>134</v>
      </c>
      <c r="H33" s="55"/>
    </row>
    <row r="34" spans="1:8" x14ac:dyDescent="0.25">
      <c r="A34" s="56" t="s">
        <v>135</v>
      </c>
      <c r="B34" s="55"/>
      <c r="D34" s="56" t="s">
        <v>135</v>
      </c>
      <c r="E34" s="55">
        <v>3</v>
      </c>
      <c r="G34" s="56" t="s">
        <v>135</v>
      </c>
      <c r="H34" s="55"/>
    </row>
    <row r="35" spans="1:8" x14ac:dyDescent="0.25">
      <c r="A35" s="56" t="s">
        <v>136</v>
      </c>
      <c r="B35" s="55"/>
      <c r="D35" s="56" t="s">
        <v>136</v>
      </c>
      <c r="E35" s="55">
        <v>10</v>
      </c>
      <c r="G35" s="56" t="s">
        <v>136</v>
      </c>
      <c r="H35" s="55"/>
    </row>
    <row r="36" spans="1:8" x14ac:dyDescent="0.25">
      <c r="A36" s="56" t="s">
        <v>137</v>
      </c>
      <c r="B36" s="55"/>
      <c r="D36" s="56" t="s">
        <v>137</v>
      </c>
      <c r="E36" s="55">
        <v>1335</v>
      </c>
      <c r="G36" s="56" t="s">
        <v>137</v>
      </c>
      <c r="H36" s="55"/>
    </row>
    <row r="37" spans="1:8" x14ac:dyDescent="0.25">
      <c r="A37" s="56" t="s">
        <v>138</v>
      </c>
      <c r="B37" s="55"/>
      <c r="D37" s="56" t="s">
        <v>138</v>
      </c>
      <c r="E37" s="55">
        <v>451</v>
      </c>
      <c r="G37" s="56" t="s">
        <v>138</v>
      </c>
      <c r="H37" s="55"/>
    </row>
    <row r="38" spans="1:8" x14ac:dyDescent="0.25">
      <c r="A38" s="56" t="s">
        <v>139</v>
      </c>
      <c r="B38" s="55"/>
      <c r="D38" s="56" t="s">
        <v>139</v>
      </c>
      <c r="E38" s="55">
        <v>166</v>
      </c>
      <c r="G38" s="56" t="s">
        <v>139</v>
      </c>
      <c r="H38" s="55"/>
    </row>
    <row r="39" spans="1:8" x14ac:dyDescent="0.25">
      <c r="A39" s="56" t="s">
        <v>140</v>
      </c>
      <c r="B39" s="55"/>
      <c r="D39" s="56" t="s">
        <v>140</v>
      </c>
      <c r="E39" s="55">
        <v>47</v>
      </c>
      <c r="G39" s="56" t="s">
        <v>140</v>
      </c>
      <c r="H39" s="55"/>
    </row>
    <row r="40" spans="1:8" x14ac:dyDescent="0.25">
      <c r="A40" s="56" t="s">
        <v>141</v>
      </c>
      <c r="B40" s="55"/>
      <c r="D40" s="56" t="s">
        <v>141</v>
      </c>
      <c r="E40" s="55">
        <v>842</v>
      </c>
      <c r="G40" s="56" t="s">
        <v>141</v>
      </c>
      <c r="H40" s="55"/>
    </row>
    <row r="41" spans="1:8" x14ac:dyDescent="0.25">
      <c r="A41" s="56" t="s">
        <v>142</v>
      </c>
      <c r="B41" s="55"/>
      <c r="D41" s="56" t="s">
        <v>142</v>
      </c>
      <c r="E41" s="55">
        <v>131</v>
      </c>
      <c r="G41" s="56" t="s">
        <v>142</v>
      </c>
      <c r="H41" s="55"/>
    </row>
    <row r="42" spans="1:8" x14ac:dyDescent="0.25">
      <c r="A42" s="56" t="s">
        <v>143</v>
      </c>
      <c r="B42" s="55"/>
      <c r="D42" s="56" t="s">
        <v>143</v>
      </c>
      <c r="E42" s="55">
        <v>0</v>
      </c>
      <c r="G42" s="56" t="s">
        <v>143</v>
      </c>
      <c r="H42" s="55"/>
    </row>
    <row r="43" spans="1:8" x14ac:dyDescent="0.25">
      <c r="A43" s="56" t="s">
        <v>144</v>
      </c>
      <c r="B43" s="55"/>
      <c r="D43" s="56" t="s">
        <v>144</v>
      </c>
      <c r="E43" s="55">
        <v>0</v>
      </c>
      <c r="G43" s="56" t="s">
        <v>144</v>
      </c>
      <c r="H43" s="55"/>
    </row>
    <row r="44" spans="1:8" x14ac:dyDescent="0.25">
      <c r="A44" s="56" t="s">
        <v>145</v>
      </c>
      <c r="B44" s="55"/>
      <c r="D44" s="56" t="s">
        <v>145</v>
      </c>
      <c r="E44" s="55">
        <v>142</v>
      </c>
      <c r="G44" s="56" t="s">
        <v>145</v>
      </c>
      <c r="H44" s="55"/>
    </row>
    <row r="45" spans="1:8" x14ac:dyDescent="0.25">
      <c r="A45" s="56" t="s">
        <v>146</v>
      </c>
      <c r="B45" s="55"/>
      <c r="D45" s="56" t="s">
        <v>146</v>
      </c>
      <c r="E45" s="55">
        <v>306</v>
      </c>
      <c r="G45" s="56" t="s">
        <v>146</v>
      </c>
      <c r="H45" s="55"/>
    </row>
    <row r="46" spans="1:8" x14ac:dyDescent="0.25">
      <c r="A46" s="56" t="s">
        <v>147</v>
      </c>
      <c r="B46" s="55"/>
      <c r="D46" s="56" t="s">
        <v>147</v>
      </c>
      <c r="E46" s="55">
        <v>37</v>
      </c>
      <c r="G46" s="56" t="s">
        <v>147</v>
      </c>
      <c r="H46" s="55"/>
    </row>
    <row r="47" spans="1:8" x14ac:dyDescent="0.25">
      <c r="A47" s="56" t="s">
        <v>148</v>
      </c>
      <c r="B47" s="55"/>
      <c r="D47" s="56" t="s">
        <v>148</v>
      </c>
      <c r="E47" s="55">
        <v>300</v>
      </c>
      <c r="G47" s="56" t="s">
        <v>148</v>
      </c>
      <c r="H47" s="55"/>
    </row>
    <row r="48" spans="1:8" x14ac:dyDescent="0.25">
      <c r="A48" s="56" t="s">
        <v>149</v>
      </c>
      <c r="B48" s="55"/>
      <c r="D48" s="56" t="s">
        <v>149</v>
      </c>
      <c r="E48" s="55">
        <v>615</v>
      </c>
      <c r="G48" s="56" t="s">
        <v>149</v>
      </c>
      <c r="H48" s="55"/>
    </row>
    <row r="49" spans="1:8" x14ac:dyDescent="0.25">
      <c r="A49" s="56" t="s">
        <v>150</v>
      </c>
      <c r="B49" s="55"/>
      <c r="D49" s="56" t="s">
        <v>150</v>
      </c>
      <c r="E49" s="55">
        <v>219</v>
      </c>
      <c r="G49" s="56" t="s">
        <v>150</v>
      </c>
      <c r="H49" s="55"/>
    </row>
    <row r="50" spans="1:8" x14ac:dyDescent="0.25">
      <c r="A50" s="56" t="s">
        <v>151</v>
      </c>
      <c r="B50" s="55"/>
      <c r="D50" s="56" t="s">
        <v>151</v>
      </c>
      <c r="E50" s="55">
        <v>176</v>
      </c>
      <c r="G50" s="56" t="s">
        <v>151</v>
      </c>
      <c r="H50" s="55"/>
    </row>
    <row r="51" spans="1:8" x14ac:dyDescent="0.25">
      <c r="A51" s="56" t="s">
        <v>152</v>
      </c>
      <c r="B51" s="55"/>
      <c r="D51" s="56" t="s">
        <v>152</v>
      </c>
      <c r="E51" s="55">
        <v>1381</v>
      </c>
      <c r="G51" s="56" t="s">
        <v>152</v>
      </c>
      <c r="H51" s="55"/>
    </row>
    <row r="52" spans="1:8" x14ac:dyDescent="0.25">
      <c r="A52" s="56" t="s">
        <v>153</v>
      </c>
      <c r="B52" s="55"/>
      <c r="D52" s="56" t="s">
        <v>153</v>
      </c>
      <c r="E52" s="55">
        <v>20</v>
      </c>
      <c r="G52" s="56" t="s">
        <v>153</v>
      </c>
      <c r="H52" s="55"/>
    </row>
    <row r="53" spans="1:8" x14ac:dyDescent="0.25">
      <c r="A53" s="56" t="s">
        <v>154</v>
      </c>
      <c r="B53" s="55"/>
      <c r="D53" s="56" t="s">
        <v>154</v>
      </c>
      <c r="E53" s="55">
        <v>259</v>
      </c>
      <c r="G53" s="56" t="s">
        <v>154</v>
      </c>
      <c r="H53" s="55"/>
    </row>
    <row r="54" spans="1:8" x14ac:dyDescent="0.25">
      <c r="A54" s="56" t="s">
        <v>155</v>
      </c>
      <c r="B54" s="55"/>
      <c r="D54" s="56" t="s">
        <v>155</v>
      </c>
      <c r="E54" s="55">
        <v>150</v>
      </c>
      <c r="G54" s="56" t="s">
        <v>155</v>
      </c>
      <c r="H54" s="55"/>
    </row>
    <row r="55" spans="1:8" x14ac:dyDescent="0.25">
      <c r="A55" s="56" t="s">
        <v>156</v>
      </c>
      <c r="B55" s="55"/>
      <c r="D55" s="56" t="s">
        <v>156</v>
      </c>
      <c r="E55" s="55">
        <v>1951</v>
      </c>
      <c r="G55" s="56" t="s">
        <v>156</v>
      </c>
      <c r="H55" s="55"/>
    </row>
    <row r="56" spans="1:8" x14ac:dyDescent="0.25">
      <c r="A56" s="56" t="s">
        <v>157</v>
      </c>
      <c r="B56" s="55"/>
      <c r="D56" s="56" t="s">
        <v>157</v>
      </c>
      <c r="E56" s="55">
        <v>1000</v>
      </c>
      <c r="G56" s="56" t="s">
        <v>157</v>
      </c>
      <c r="H56" s="55"/>
    </row>
    <row r="57" spans="1:8" x14ac:dyDescent="0.25">
      <c r="A57" s="56" t="s">
        <v>158</v>
      </c>
      <c r="B57" s="55"/>
      <c r="D57" s="56" t="s">
        <v>158</v>
      </c>
      <c r="E57" s="55">
        <v>42</v>
      </c>
      <c r="G57" s="56" t="s">
        <v>158</v>
      </c>
      <c r="H57" s="55"/>
    </row>
    <row r="58" spans="1:8" x14ac:dyDescent="0.25">
      <c r="A58" s="56" t="s">
        <v>159</v>
      </c>
      <c r="B58" s="55"/>
      <c r="D58" s="56" t="s">
        <v>159</v>
      </c>
      <c r="E58" s="55">
        <v>0</v>
      </c>
      <c r="G58" s="56" t="s">
        <v>159</v>
      </c>
      <c r="H58" s="55"/>
    </row>
    <row r="59" spans="1:8" x14ac:dyDescent="0.25">
      <c r="A59" s="56" t="s">
        <v>160</v>
      </c>
      <c r="B59" s="55"/>
      <c r="D59" s="56" t="s">
        <v>160</v>
      </c>
      <c r="E59" s="55">
        <v>1361</v>
      </c>
      <c r="G59" s="56" t="s">
        <v>160</v>
      </c>
      <c r="H59" s="55"/>
    </row>
    <row r="60" spans="1:8" x14ac:dyDescent="0.25">
      <c r="A60" s="56" t="s">
        <v>161</v>
      </c>
      <c r="B60" s="55"/>
      <c r="D60" s="56" t="s">
        <v>161</v>
      </c>
      <c r="E60" s="55">
        <v>573</v>
      </c>
      <c r="G60" s="56" t="s">
        <v>161</v>
      </c>
      <c r="H60" s="55"/>
    </row>
    <row r="61" spans="1:8" x14ac:dyDescent="0.25">
      <c r="A61" s="56" t="s">
        <v>162</v>
      </c>
      <c r="B61" s="55"/>
      <c r="D61" s="56" t="s">
        <v>162</v>
      </c>
      <c r="E61" s="55">
        <v>43</v>
      </c>
      <c r="G61" s="56" t="s">
        <v>162</v>
      </c>
      <c r="H61" s="55"/>
    </row>
    <row r="62" spans="1:8" x14ac:dyDescent="0.25">
      <c r="A62" s="56" t="s">
        <v>163</v>
      </c>
      <c r="B62" s="55"/>
      <c r="D62" s="56" t="s">
        <v>163</v>
      </c>
      <c r="E62" s="55">
        <v>169</v>
      </c>
      <c r="G62" s="56" t="s">
        <v>163</v>
      </c>
      <c r="H62" s="55"/>
    </row>
    <row r="63" spans="1:8" x14ac:dyDescent="0.25">
      <c r="A63" s="56" t="s">
        <v>164</v>
      </c>
      <c r="B63" s="55"/>
      <c r="D63" s="56" t="s">
        <v>164</v>
      </c>
      <c r="E63" s="55">
        <v>0</v>
      </c>
      <c r="G63" s="56" t="s">
        <v>164</v>
      </c>
      <c r="H63" s="55"/>
    </row>
    <row r="64" spans="1:8" x14ac:dyDescent="0.25">
      <c r="A64" s="56" t="s">
        <v>165</v>
      </c>
      <c r="B64" s="55"/>
      <c r="D64" s="56" t="s">
        <v>165</v>
      </c>
      <c r="E64" s="55">
        <v>0</v>
      </c>
      <c r="G64" s="56" t="s">
        <v>165</v>
      </c>
      <c r="H64" s="55"/>
    </row>
    <row r="65" spans="1:8" x14ac:dyDescent="0.25">
      <c r="A65" s="56" t="s">
        <v>166</v>
      </c>
      <c r="B65" s="55"/>
      <c r="D65" s="56" t="s">
        <v>166</v>
      </c>
      <c r="E65" s="55">
        <v>0</v>
      </c>
      <c r="G65" s="56" t="s">
        <v>166</v>
      </c>
      <c r="H65" s="55"/>
    </row>
    <row r="66" spans="1:8" x14ac:dyDescent="0.25">
      <c r="A66" s="56" t="s">
        <v>167</v>
      </c>
      <c r="B66" s="55"/>
      <c r="D66" s="56" t="s">
        <v>167</v>
      </c>
      <c r="E66" s="55">
        <v>2</v>
      </c>
      <c r="G66" s="56" t="s">
        <v>167</v>
      </c>
      <c r="H66" s="55"/>
    </row>
    <row r="67" spans="1:8" x14ac:dyDescent="0.25">
      <c r="A67" s="56" t="s">
        <v>168</v>
      </c>
      <c r="B67" s="55"/>
      <c r="D67" s="56" t="s">
        <v>168</v>
      </c>
      <c r="E67" s="55">
        <v>1</v>
      </c>
      <c r="G67" s="56" t="s">
        <v>168</v>
      </c>
      <c r="H67" s="55"/>
    </row>
    <row r="68" spans="1:8" x14ac:dyDescent="0.25">
      <c r="A68" s="56" t="s">
        <v>169</v>
      </c>
      <c r="B68" s="55"/>
      <c r="D68" s="56" t="s">
        <v>169</v>
      </c>
      <c r="E68" s="55">
        <v>336</v>
      </c>
      <c r="G68" s="56" t="s">
        <v>169</v>
      </c>
      <c r="H68" s="55"/>
    </row>
    <row r="69" spans="1:8" x14ac:dyDescent="0.25">
      <c r="A69" s="56" t="s">
        <v>170</v>
      </c>
      <c r="B69" s="55"/>
      <c r="D69" s="56" t="s">
        <v>170</v>
      </c>
      <c r="E69" s="55">
        <v>7</v>
      </c>
      <c r="G69" s="56" t="s">
        <v>170</v>
      </c>
      <c r="H69" s="55"/>
    </row>
    <row r="70" spans="1:8" x14ac:dyDescent="0.25">
      <c r="A70" s="56" t="s">
        <v>171</v>
      </c>
      <c r="B70" s="55"/>
      <c r="D70" s="56" t="s">
        <v>171</v>
      </c>
      <c r="E70" s="55">
        <v>521</v>
      </c>
      <c r="G70" s="56" t="s">
        <v>171</v>
      </c>
      <c r="H70" s="55"/>
    </row>
    <row r="71" spans="1:8" x14ac:dyDescent="0.25">
      <c r="A71" s="56" t="s">
        <v>172</v>
      </c>
      <c r="B71" s="55"/>
      <c r="D71" s="56" t="s">
        <v>172</v>
      </c>
      <c r="E71" s="55">
        <v>739</v>
      </c>
      <c r="G71" s="56" t="s">
        <v>172</v>
      </c>
      <c r="H71" s="55"/>
    </row>
    <row r="72" spans="1:8" x14ac:dyDescent="0.25">
      <c r="A72" s="56" t="s">
        <v>173</v>
      </c>
      <c r="B72" s="55"/>
      <c r="D72" s="56" t="s">
        <v>173</v>
      </c>
      <c r="E72" s="55">
        <v>0</v>
      </c>
      <c r="G72" s="56" t="s">
        <v>173</v>
      </c>
      <c r="H72" s="55"/>
    </row>
    <row r="73" spans="1:8" x14ac:dyDescent="0.25">
      <c r="A73" s="56" t="s">
        <v>174</v>
      </c>
      <c r="B73" s="55"/>
      <c r="D73" s="56" t="s">
        <v>174</v>
      </c>
      <c r="E73" s="55">
        <v>1</v>
      </c>
      <c r="G73" s="56" t="s">
        <v>174</v>
      </c>
      <c r="H73" s="55"/>
    </row>
    <row r="74" spans="1:8" x14ac:dyDescent="0.25">
      <c r="A74" s="56" t="s">
        <v>175</v>
      </c>
      <c r="B74" s="55"/>
      <c r="D74" s="56" t="s">
        <v>175</v>
      </c>
      <c r="E74" s="55">
        <v>0</v>
      </c>
      <c r="G74" s="56" t="s">
        <v>175</v>
      </c>
      <c r="H74" s="55"/>
    </row>
    <row r="75" spans="1:8" x14ac:dyDescent="0.25">
      <c r="A75" s="56" t="s">
        <v>176</v>
      </c>
      <c r="B75" s="55"/>
      <c r="D75" s="56" t="s">
        <v>176</v>
      </c>
      <c r="E75" s="55">
        <v>0</v>
      </c>
      <c r="G75" s="56" t="s">
        <v>176</v>
      </c>
      <c r="H75" s="55"/>
    </row>
    <row r="76" spans="1:8" x14ac:dyDescent="0.25">
      <c r="A76" s="56" t="s">
        <v>177</v>
      </c>
      <c r="B76" s="55"/>
      <c r="D76" s="56" t="s">
        <v>177</v>
      </c>
      <c r="E76" s="55">
        <v>433</v>
      </c>
      <c r="G76" s="56" t="s">
        <v>177</v>
      </c>
      <c r="H76" s="55"/>
    </row>
    <row r="77" spans="1:8" x14ac:dyDescent="0.25">
      <c r="A77" s="56" t="s">
        <v>178</v>
      </c>
      <c r="B77" s="55"/>
      <c r="D77" s="56" t="s">
        <v>178</v>
      </c>
      <c r="E77" s="55">
        <v>2</v>
      </c>
      <c r="G77" s="56" t="s">
        <v>178</v>
      </c>
      <c r="H77" s="55"/>
    </row>
    <row r="78" spans="1:8" x14ac:dyDescent="0.25">
      <c r="A78" s="56" t="s">
        <v>179</v>
      </c>
      <c r="B78" s="55"/>
      <c r="D78" s="56" t="s">
        <v>179</v>
      </c>
      <c r="E78" s="55">
        <v>0</v>
      </c>
      <c r="G78" s="56" t="s">
        <v>179</v>
      </c>
      <c r="H78" s="55"/>
    </row>
    <row r="79" spans="1:8" ht="16.5" thickBot="1" x14ac:dyDescent="0.3">
      <c r="A79" s="62" t="s">
        <v>180</v>
      </c>
      <c r="B79" s="65"/>
      <c r="D79" s="56" t="s">
        <v>180</v>
      </c>
      <c r="E79" s="55">
        <v>0</v>
      </c>
      <c r="G79" s="56" t="s">
        <v>180</v>
      </c>
      <c r="H79" s="55"/>
    </row>
    <row r="80" spans="1:8" ht="16.5" thickBot="1" x14ac:dyDescent="0.3">
      <c r="A80" s="71" t="s">
        <v>72</v>
      </c>
      <c r="B80" s="72">
        <f>SUM(B3:B79)</f>
        <v>0</v>
      </c>
      <c r="D80" s="71" t="s">
        <v>72</v>
      </c>
      <c r="E80" s="72">
        <f>SUM(E3:E79)</f>
        <v>30117</v>
      </c>
      <c r="G80" s="71" t="s">
        <v>72</v>
      </c>
      <c r="H80" s="72">
        <f>SUM(H3:H79)</f>
        <v>0</v>
      </c>
    </row>
  </sheetData>
  <sheetProtection algorithmName="SHA-512" hashValue="+ZNmz+K6wus8+RgmrZK+18hdFwApsxWonY8U1Va1xjWcaEdKgzGwCzZcmyxkvhOl8ateER2Zhe5SHC/KWYCCgQ==" saltValue="fDDreL1vRwA757kS+nS0RQ==" spinCount="100000" sheet="1" objects="1" scenarios="1"/>
  <dataValidations count="1">
    <dataValidation type="whole" allowBlank="1" showInputMessage="1" showErrorMessage="1" sqref="B3:B79 E3:E79 H3:H79" xr:uid="{00000000-0002-0000-0600-000000000000}">
      <formula1>0</formula1>
      <formula2>100000000</formula2>
    </dataValidation>
  </dataValidations>
  <pageMargins left="0.7" right="0.7" top="0.75" bottom="0.75" header="0.3" footer="0.3"/>
  <pageSetup scale="47"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B7"/>
  <sheetViews>
    <sheetView showGridLines="0" workbookViewId="0">
      <selection activeCell="B6" sqref="B6"/>
    </sheetView>
  </sheetViews>
  <sheetFormatPr defaultRowHeight="15.75" x14ac:dyDescent="0.25"/>
  <cols>
    <col min="1" max="1" width="48.75" bestFit="1" customWidth="1"/>
    <col min="2" max="2" width="15.875" bestFit="1" customWidth="1"/>
  </cols>
  <sheetData>
    <row r="1" spans="1:2" x14ac:dyDescent="0.25">
      <c r="A1" s="1" t="s">
        <v>210</v>
      </c>
    </row>
    <row r="2" spans="1:2" x14ac:dyDescent="0.25">
      <c r="A2" s="2" t="s">
        <v>78</v>
      </c>
      <c r="B2" s="2" t="s">
        <v>29</v>
      </c>
    </row>
    <row r="3" spans="1:2" x14ac:dyDescent="0.25">
      <c r="A3" s="3" t="s">
        <v>47</v>
      </c>
      <c r="B3" s="55">
        <v>6235</v>
      </c>
    </row>
    <row r="4" spans="1:2" x14ac:dyDescent="0.25">
      <c r="A4" s="3" t="s">
        <v>48</v>
      </c>
      <c r="B4" s="55">
        <v>8838</v>
      </c>
    </row>
    <row r="5" spans="1:2" x14ac:dyDescent="0.25">
      <c r="A5" s="3" t="s">
        <v>56</v>
      </c>
      <c r="B5" s="55"/>
    </row>
    <row r="6" spans="1:2" ht="16.5" thickBot="1" x14ac:dyDescent="0.3">
      <c r="A6" s="3" t="s">
        <v>55</v>
      </c>
      <c r="B6" s="55">
        <v>15044</v>
      </c>
    </row>
    <row r="7" spans="1:2" ht="16.5" thickBot="1" x14ac:dyDescent="0.3">
      <c r="A7" s="28" t="s">
        <v>72</v>
      </c>
      <c r="B7" s="29">
        <f>SUM(B3:B6)</f>
        <v>30117</v>
      </c>
    </row>
  </sheetData>
  <sheetProtection algorithmName="SHA-512" hashValue="fql4Jf1JpJyWvugjBIlgDISvEUFl0UIq41+7WCeA7K9PI0fSyoQbirwcRDufZPsGSiyCCoULQzCCk7NXQlAB6w==" saltValue="Ki+hBCpYaHQBTKpla46P1A==" spinCount="100000" sheet="1" objects="1" scenarios="1"/>
  <dataValidations count="1">
    <dataValidation type="whole" allowBlank="1" showInputMessage="1" showErrorMessage="1" sqref="B3:B6" xr:uid="{00000000-0002-0000-0700-000000000000}">
      <formula1>0</formula1>
      <formula2>100000000000</formula2>
    </dataValidation>
  </dataValidations>
  <pageMargins left="0.7" right="0.7" top="0.75" bottom="0.75" header="0.3" footer="0.3"/>
  <pageSetup scale="47"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K10"/>
  <sheetViews>
    <sheetView showGridLines="0" topLeftCell="C1" workbookViewId="0">
      <selection activeCell="G3" sqref="G3"/>
    </sheetView>
  </sheetViews>
  <sheetFormatPr defaultRowHeight="15.75" x14ac:dyDescent="0.25"/>
  <cols>
    <col min="1" max="1" width="36.375" bestFit="1" customWidth="1"/>
    <col min="2" max="2" width="18" bestFit="1" customWidth="1"/>
    <col min="3" max="3" width="16.375" bestFit="1" customWidth="1"/>
    <col min="5" max="5" width="35.375" bestFit="1" customWidth="1"/>
    <col min="6" max="6" width="18" bestFit="1" customWidth="1"/>
    <col min="7" max="7" width="16.375" bestFit="1" customWidth="1"/>
    <col min="9" max="9" width="38.625" bestFit="1" customWidth="1"/>
    <col min="10" max="10" width="18" bestFit="1" customWidth="1"/>
    <col min="11" max="11" width="16.375" bestFit="1" customWidth="1"/>
  </cols>
  <sheetData>
    <row r="1" spans="1:11" x14ac:dyDescent="0.25">
      <c r="A1" s="5" t="str">
        <f>"Province wise Merchant Transactions for the Month"&amp;" "&amp;'Home Page'!$C$5</f>
        <v>Province wise Merchant Transactions for the Month Ashwin</v>
      </c>
      <c r="B1" s="6"/>
      <c r="C1" s="6"/>
      <c r="D1" s="6"/>
      <c r="E1" s="6"/>
      <c r="F1" s="6"/>
      <c r="G1" s="6"/>
      <c r="H1" s="6"/>
      <c r="I1" s="6"/>
      <c r="J1" s="6"/>
      <c r="K1" s="6"/>
    </row>
    <row r="2" spans="1:11" x14ac:dyDescent="0.25">
      <c r="A2" s="2" t="s">
        <v>21</v>
      </c>
      <c r="B2" s="2" t="s">
        <v>58</v>
      </c>
      <c r="C2" s="2" t="s">
        <v>73</v>
      </c>
      <c r="E2" s="2" t="s">
        <v>32</v>
      </c>
      <c r="F2" s="2" t="s">
        <v>58</v>
      </c>
      <c r="G2" s="2" t="s">
        <v>73</v>
      </c>
      <c r="I2" s="2" t="s">
        <v>35</v>
      </c>
      <c r="J2" s="2" t="s">
        <v>58</v>
      </c>
      <c r="K2" s="2" t="s">
        <v>73</v>
      </c>
    </row>
    <row r="3" spans="1:11" x14ac:dyDescent="0.25">
      <c r="A3" s="3" t="s">
        <v>23</v>
      </c>
      <c r="B3" s="55"/>
      <c r="C3" s="55"/>
      <c r="E3" s="3" t="s">
        <v>23</v>
      </c>
      <c r="F3" s="55">
        <v>21673</v>
      </c>
      <c r="G3" s="55">
        <v>38341825.870000005</v>
      </c>
      <c r="I3" s="3" t="s">
        <v>23</v>
      </c>
      <c r="J3" s="55"/>
      <c r="K3" s="55"/>
    </row>
    <row r="4" spans="1:11" x14ac:dyDescent="0.25">
      <c r="A4" s="3" t="s">
        <v>24</v>
      </c>
      <c r="B4" s="55"/>
      <c r="C4" s="55"/>
      <c r="E4" s="3" t="s">
        <v>24</v>
      </c>
      <c r="F4" s="55">
        <v>16107</v>
      </c>
      <c r="G4" s="55">
        <v>26596872.090000007</v>
      </c>
      <c r="I4" s="3" t="s">
        <v>24</v>
      </c>
      <c r="J4" s="55"/>
      <c r="K4" s="55"/>
    </row>
    <row r="5" spans="1:11" x14ac:dyDescent="0.25">
      <c r="A5" s="3" t="s">
        <v>22</v>
      </c>
      <c r="B5" s="55"/>
      <c r="C5" s="55"/>
      <c r="E5" s="3" t="s">
        <v>22</v>
      </c>
      <c r="F5" s="55">
        <v>217290</v>
      </c>
      <c r="G5" s="55">
        <v>443767062.2700001</v>
      </c>
      <c r="I5" s="3" t="s">
        <v>22</v>
      </c>
      <c r="J5" s="55"/>
      <c r="K5" s="55"/>
    </row>
    <row r="6" spans="1:11" x14ac:dyDescent="0.25">
      <c r="A6" s="3" t="s">
        <v>25</v>
      </c>
      <c r="B6" s="55"/>
      <c r="C6" s="55"/>
      <c r="E6" s="3" t="s">
        <v>25</v>
      </c>
      <c r="F6" s="55">
        <v>16586</v>
      </c>
      <c r="G6" s="55">
        <v>38600296.12000002</v>
      </c>
      <c r="I6" s="3" t="s">
        <v>25</v>
      </c>
      <c r="J6" s="55"/>
      <c r="K6" s="55"/>
    </row>
    <row r="7" spans="1:11" x14ac:dyDescent="0.25">
      <c r="A7" s="3" t="s">
        <v>26</v>
      </c>
      <c r="B7" s="55"/>
      <c r="C7" s="55"/>
      <c r="E7" s="3" t="s">
        <v>26</v>
      </c>
      <c r="F7" s="55">
        <v>36310</v>
      </c>
      <c r="G7" s="55">
        <v>94974648.249999955</v>
      </c>
      <c r="I7" s="3" t="s">
        <v>26</v>
      </c>
      <c r="J7" s="55"/>
      <c r="K7" s="55"/>
    </row>
    <row r="8" spans="1:11" x14ac:dyDescent="0.25">
      <c r="A8" s="3" t="s">
        <v>27</v>
      </c>
      <c r="B8" s="55"/>
      <c r="C8" s="55"/>
      <c r="E8" s="3" t="s">
        <v>27</v>
      </c>
      <c r="F8" s="55">
        <v>5924</v>
      </c>
      <c r="G8" s="55">
        <v>10543146.02</v>
      </c>
      <c r="I8" s="3" t="s">
        <v>27</v>
      </c>
      <c r="J8" s="55"/>
      <c r="K8" s="55"/>
    </row>
    <row r="9" spans="1:11" ht="16.5" thickBot="1" x14ac:dyDescent="0.3">
      <c r="A9" s="27" t="s">
        <v>28</v>
      </c>
      <c r="B9" s="65"/>
      <c r="C9" s="65"/>
      <c r="E9" s="27" t="s">
        <v>28</v>
      </c>
      <c r="F9" s="65">
        <v>17368</v>
      </c>
      <c r="G9" s="65">
        <v>18169000.540000014</v>
      </c>
      <c r="I9" s="3" t="s">
        <v>28</v>
      </c>
      <c r="J9" s="55"/>
      <c r="K9" s="55"/>
    </row>
    <row r="10" spans="1:11" ht="16.5" thickBot="1" x14ac:dyDescent="0.3">
      <c r="A10" s="28" t="s">
        <v>72</v>
      </c>
      <c r="B10" s="29">
        <f>SUM(B3:B9)</f>
        <v>0</v>
      </c>
      <c r="C10" s="30">
        <f>SUM(C3:C9)</f>
        <v>0</v>
      </c>
      <c r="E10" s="28" t="s">
        <v>72</v>
      </c>
      <c r="F10" s="29">
        <f>SUM(F3:F9)</f>
        <v>331258</v>
      </c>
      <c r="G10" s="30">
        <f>SUM(G3:G9)</f>
        <v>670992851.16000009</v>
      </c>
      <c r="I10" s="28" t="s">
        <v>72</v>
      </c>
      <c r="J10" s="29">
        <f>SUM(J3:J9)</f>
        <v>0</v>
      </c>
      <c r="K10" s="30">
        <f>SUM(K3:K9)</f>
        <v>0</v>
      </c>
    </row>
  </sheetData>
  <sheetProtection algorithmName="SHA-512" hashValue="d2lju/wl6DDaNR2VL7aKbv30Hwj6tM4hfBiq7EfSxO/YAe0ICGI9XhBh/XI/Z9ZJu6VuaKEYUI4kYFTLYoKpfg==" saltValue="6OeYMrwCJ4MkIcE+QFT3DQ==" spinCount="100000" sheet="1" objects="1" scenarios="1"/>
  <dataValidations count="1">
    <dataValidation type="decimal" allowBlank="1" showInputMessage="1" showErrorMessage="1" sqref="B3:C9 F3:G9 J3:K9" xr:uid="{00000000-0002-0000-0800-000000000000}">
      <formula1>0</formula1>
      <formula2>1E+21</formula2>
    </dataValidation>
  </dataValidations>
  <pageMargins left="0.7" right="0.7" top="0.75" bottom="0.75" header="0.3" footer="0.3"/>
  <pageSetup scale="47"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K80"/>
  <sheetViews>
    <sheetView showGridLines="0" workbookViewId="0">
      <pane ySplit="2" topLeftCell="A3" activePane="bottomLeft" state="frozen"/>
      <selection activeCell="E16" sqref="E16"/>
      <selection pane="bottomLeft" activeCell="F12" sqref="F12"/>
    </sheetView>
  </sheetViews>
  <sheetFormatPr defaultRowHeight="15.75" x14ac:dyDescent="0.25"/>
  <cols>
    <col min="1" max="1" width="35" bestFit="1" customWidth="1"/>
    <col min="2" max="2" width="18" bestFit="1" customWidth="1"/>
    <col min="3" max="3" width="16.375" bestFit="1" customWidth="1"/>
    <col min="5" max="5" width="34" bestFit="1" customWidth="1"/>
    <col min="6" max="6" width="18" bestFit="1" customWidth="1"/>
    <col min="7" max="7" width="16.375" bestFit="1" customWidth="1"/>
    <col min="9" max="9" width="37.125" bestFit="1" customWidth="1"/>
    <col min="10" max="10" width="18" bestFit="1" customWidth="1"/>
    <col min="11" max="11" width="16.375" bestFit="1" customWidth="1"/>
  </cols>
  <sheetData>
    <row r="1" spans="1:11" s="47" customFormat="1" ht="28.5" customHeight="1" x14ac:dyDescent="0.25">
      <c r="A1" s="45" t="str">
        <f>"District wise Transactions of Merchants for the Month"&amp;" "&amp;'Home Page'!$C$5</f>
        <v>District wise Transactions of Merchants for the Month Ashwin</v>
      </c>
      <c r="B1" s="46"/>
      <c r="C1" s="46"/>
      <c r="D1" s="46"/>
      <c r="E1" s="46"/>
      <c r="F1" s="46"/>
      <c r="G1" s="46"/>
      <c r="H1" s="46"/>
      <c r="I1" s="46"/>
      <c r="J1" s="46"/>
      <c r="K1" s="46"/>
    </row>
    <row r="2" spans="1:11" x14ac:dyDescent="0.25">
      <c r="A2" s="2" t="s">
        <v>31</v>
      </c>
      <c r="B2" s="2" t="s">
        <v>58</v>
      </c>
      <c r="C2" s="2" t="s">
        <v>73</v>
      </c>
      <c r="E2" s="2" t="s">
        <v>34</v>
      </c>
      <c r="F2" s="2" t="s">
        <v>58</v>
      </c>
      <c r="G2" s="2" t="s">
        <v>73</v>
      </c>
      <c r="I2" s="2" t="s">
        <v>37</v>
      </c>
      <c r="J2" s="2" t="s">
        <v>58</v>
      </c>
      <c r="K2" s="2" t="s">
        <v>73</v>
      </c>
    </row>
    <row r="3" spans="1:11" x14ac:dyDescent="0.25">
      <c r="A3" s="3" t="s">
        <v>104</v>
      </c>
      <c r="B3" s="55"/>
      <c r="C3" s="55"/>
      <c r="E3" s="3" t="s">
        <v>104</v>
      </c>
      <c r="F3" s="55">
        <v>0</v>
      </c>
      <c r="G3" s="55">
        <v>0</v>
      </c>
      <c r="I3" s="3" t="s">
        <v>104</v>
      </c>
      <c r="J3" s="55"/>
      <c r="K3" s="55"/>
    </row>
    <row r="4" spans="1:11" x14ac:dyDescent="0.25">
      <c r="A4" s="3" t="s">
        <v>105</v>
      </c>
      <c r="B4" s="55"/>
      <c r="C4" s="55"/>
      <c r="E4" s="3" t="s">
        <v>105</v>
      </c>
      <c r="F4" s="55">
        <v>0</v>
      </c>
      <c r="G4" s="55">
        <v>0</v>
      </c>
      <c r="I4" s="3" t="s">
        <v>105</v>
      </c>
      <c r="J4" s="55"/>
      <c r="K4" s="55"/>
    </row>
    <row r="5" spans="1:11" x14ac:dyDescent="0.25">
      <c r="A5" s="3" t="s">
        <v>106</v>
      </c>
      <c r="B5" s="55"/>
      <c r="C5" s="55"/>
      <c r="E5" s="3" t="s">
        <v>106</v>
      </c>
      <c r="F5" s="55">
        <v>762</v>
      </c>
      <c r="G5" s="55">
        <v>1549734.15</v>
      </c>
      <c r="I5" s="3" t="s">
        <v>106</v>
      </c>
      <c r="J5" s="55"/>
      <c r="K5" s="55"/>
    </row>
    <row r="6" spans="1:11" x14ac:dyDescent="0.25">
      <c r="A6" s="3" t="s">
        <v>107</v>
      </c>
      <c r="B6" s="55"/>
      <c r="C6" s="55"/>
      <c r="E6" s="3" t="s">
        <v>107</v>
      </c>
      <c r="F6" s="55">
        <v>2972</v>
      </c>
      <c r="G6" s="55">
        <v>7888321.4300000006</v>
      </c>
      <c r="I6" s="3" t="s">
        <v>107</v>
      </c>
      <c r="J6" s="55"/>
      <c r="K6" s="55"/>
    </row>
    <row r="7" spans="1:11" x14ac:dyDescent="0.25">
      <c r="A7" s="3" t="s">
        <v>108</v>
      </c>
      <c r="B7" s="55"/>
      <c r="C7" s="55"/>
      <c r="E7" s="3" t="s">
        <v>108</v>
      </c>
      <c r="F7" s="55">
        <v>417</v>
      </c>
      <c r="G7" s="55">
        <v>1264300</v>
      </c>
      <c r="I7" s="3" t="s">
        <v>108</v>
      </c>
      <c r="J7" s="55"/>
      <c r="K7" s="55"/>
    </row>
    <row r="8" spans="1:11" x14ac:dyDescent="0.25">
      <c r="A8" s="3" t="s">
        <v>109</v>
      </c>
      <c r="B8" s="55"/>
      <c r="C8" s="55"/>
      <c r="E8" s="3" t="s">
        <v>109</v>
      </c>
      <c r="F8" s="55">
        <v>4293</v>
      </c>
      <c r="G8" s="55">
        <v>7855605.1900000004</v>
      </c>
      <c r="I8" s="3" t="s">
        <v>109</v>
      </c>
      <c r="J8" s="55"/>
      <c r="K8" s="55"/>
    </row>
    <row r="9" spans="1:11" x14ac:dyDescent="0.25">
      <c r="A9" s="3" t="s">
        <v>110</v>
      </c>
      <c r="B9" s="55"/>
      <c r="C9" s="55"/>
      <c r="E9" s="3" t="s">
        <v>110</v>
      </c>
      <c r="F9" s="55">
        <v>0</v>
      </c>
      <c r="G9" s="55">
        <v>0</v>
      </c>
      <c r="I9" s="3" t="s">
        <v>110</v>
      </c>
      <c r="J9" s="55"/>
      <c r="K9" s="55"/>
    </row>
    <row r="10" spans="1:11" x14ac:dyDescent="0.25">
      <c r="A10" s="3" t="s">
        <v>111</v>
      </c>
      <c r="B10" s="55"/>
      <c r="C10" s="55"/>
      <c r="E10" s="3" t="s">
        <v>111</v>
      </c>
      <c r="F10" s="55">
        <v>0</v>
      </c>
      <c r="G10" s="55">
        <v>0</v>
      </c>
      <c r="I10" s="3" t="s">
        <v>111</v>
      </c>
      <c r="J10" s="55"/>
      <c r="K10" s="55"/>
    </row>
    <row r="11" spans="1:11" x14ac:dyDescent="0.25">
      <c r="A11" s="3" t="s">
        <v>112</v>
      </c>
      <c r="B11" s="55"/>
      <c r="C11" s="55"/>
      <c r="E11" s="3" t="s">
        <v>112</v>
      </c>
      <c r="F11" s="55">
        <v>0</v>
      </c>
      <c r="G11" s="55">
        <v>0</v>
      </c>
      <c r="I11" s="3" t="s">
        <v>112</v>
      </c>
      <c r="J11" s="55"/>
      <c r="K11" s="55"/>
    </row>
    <row r="12" spans="1:11" x14ac:dyDescent="0.25">
      <c r="A12" s="3" t="s">
        <v>113</v>
      </c>
      <c r="B12" s="55"/>
      <c r="C12" s="55"/>
      <c r="E12" s="3" t="s">
        <v>113</v>
      </c>
      <c r="F12" s="55">
        <v>66</v>
      </c>
      <c r="G12" s="55">
        <v>29230</v>
      </c>
      <c r="I12" s="3" t="s">
        <v>113</v>
      </c>
      <c r="J12" s="55"/>
      <c r="K12" s="55"/>
    </row>
    <row r="13" spans="1:11" x14ac:dyDescent="0.25">
      <c r="A13" s="3" t="s">
        <v>114</v>
      </c>
      <c r="B13" s="55"/>
      <c r="C13" s="55"/>
      <c r="E13" s="3" t="s">
        <v>114</v>
      </c>
      <c r="F13" s="55">
        <v>11285</v>
      </c>
      <c r="G13" s="55">
        <v>16365264.1</v>
      </c>
      <c r="I13" s="3" t="s">
        <v>114</v>
      </c>
      <c r="J13" s="55"/>
      <c r="K13" s="55"/>
    </row>
    <row r="14" spans="1:11" x14ac:dyDescent="0.25">
      <c r="A14" s="3" t="s">
        <v>115</v>
      </c>
      <c r="B14" s="55"/>
      <c r="C14" s="55"/>
      <c r="E14" s="3" t="s">
        <v>115</v>
      </c>
      <c r="F14" s="55">
        <v>0</v>
      </c>
      <c r="G14" s="55">
        <v>0</v>
      </c>
      <c r="I14" s="3" t="s">
        <v>115</v>
      </c>
      <c r="J14" s="55"/>
      <c r="K14" s="55"/>
    </row>
    <row r="15" spans="1:11" x14ac:dyDescent="0.25">
      <c r="A15" s="3" t="s">
        <v>116</v>
      </c>
      <c r="B15" s="55"/>
      <c r="C15" s="55"/>
      <c r="E15" s="3" t="s">
        <v>116</v>
      </c>
      <c r="F15" s="55">
        <v>0</v>
      </c>
      <c r="G15" s="55">
        <v>0</v>
      </c>
      <c r="I15" s="3" t="s">
        <v>116</v>
      </c>
      <c r="J15" s="55"/>
      <c r="K15" s="55"/>
    </row>
    <row r="16" spans="1:11" x14ac:dyDescent="0.25">
      <c r="A16" s="3" t="s">
        <v>117</v>
      </c>
      <c r="B16" s="55"/>
      <c r="C16" s="55"/>
      <c r="E16" s="3" t="s">
        <v>117</v>
      </c>
      <c r="F16" s="55">
        <v>1878</v>
      </c>
      <c r="G16" s="55">
        <v>3389371</v>
      </c>
      <c r="I16" s="3" t="s">
        <v>117</v>
      </c>
      <c r="J16" s="55"/>
      <c r="K16" s="55"/>
    </row>
    <row r="17" spans="1:11" x14ac:dyDescent="0.25">
      <c r="A17" s="3" t="s">
        <v>118</v>
      </c>
      <c r="B17" s="55"/>
      <c r="C17" s="55"/>
      <c r="E17" s="3" t="s">
        <v>118</v>
      </c>
      <c r="F17" s="55">
        <v>7232</v>
      </c>
      <c r="G17" s="55">
        <v>14733342.750000002</v>
      </c>
      <c r="I17" s="3" t="s">
        <v>118</v>
      </c>
      <c r="J17" s="55"/>
      <c r="K17" s="55"/>
    </row>
    <row r="18" spans="1:11" x14ac:dyDescent="0.25">
      <c r="A18" s="3" t="s">
        <v>119</v>
      </c>
      <c r="B18" s="55"/>
      <c r="C18" s="55"/>
      <c r="E18" s="3" t="s">
        <v>119</v>
      </c>
      <c r="F18" s="55">
        <v>3861</v>
      </c>
      <c r="G18" s="55">
        <v>3027118.35</v>
      </c>
      <c r="I18" s="3" t="s">
        <v>119</v>
      </c>
      <c r="J18" s="55"/>
      <c r="K18" s="55"/>
    </row>
    <row r="19" spans="1:11" x14ac:dyDescent="0.25">
      <c r="A19" s="3" t="s">
        <v>120</v>
      </c>
      <c r="B19" s="55"/>
      <c r="C19" s="55"/>
      <c r="E19" s="3" t="s">
        <v>120</v>
      </c>
      <c r="F19" s="55">
        <v>245</v>
      </c>
      <c r="G19" s="55">
        <v>426515</v>
      </c>
      <c r="I19" s="3" t="s">
        <v>120</v>
      </c>
      <c r="J19" s="55"/>
      <c r="K19" s="55"/>
    </row>
    <row r="20" spans="1:11" x14ac:dyDescent="0.25">
      <c r="A20" s="3" t="s">
        <v>121</v>
      </c>
      <c r="B20" s="55"/>
      <c r="C20" s="55"/>
      <c r="E20" s="3" t="s">
        <v>121</v>
      </c>
      <c r="F20" s="55">
        <v>189</v>
      </c>
      <c r="G20" s="55">
        <v>562895</v>
      </c>
      <c r="I20" s="3" t="s">
        <v>121</v>
      </c>
      <c r="J20" s="55"/>
      <c r="K20" s="55"/>
    </row>
    <row r="21" spans="1:11" x14ac:dyDescent="0.25">
      <c r="A21" s="3" t="s">
        <v>122</v>
      </c>
      <c r="B21" s="55"/>
      <c r="C21" s="55"/>
      <c r="E21" s="3" t="s">
        <v>122</v>
      </c>
      <c r="F21" s="55">
        <v>1015</v>
      </c>
      <c r="G21" s="55">
        <v>1681181.2</v>
      </c>
      <c r="I21" s="3" t="s">
        <v>122</v>
      </c>
      <c r="J21" s="55"/>
      <c r="K21" s="55"/>
    </row>
    <row r="22" spans="1:11" x14ac:dyDescent="0.25">
      <c r="A22" s="3" t="s">
        <v>123</v>
      </c>
      <c r="B22" s="55"/>
      <c r="C22" s="55"/>
      <c r="E22" s="3" t="s">
        <v>123</v>
      </c>
      <c r="F22" s="55">
        <v>1811</v>
      </c>
      <c r="G22" s="55">
        <v>1513607.3499999999</v>
      </c>
      <c r="I22" s="3" t="s">
        <v>123</v>
      </c>
      <c r="J22" s="55"/>
      <c r="K22" s="55"/>
    </row>
    <row r="23" spans="1:11" x14ac:dyDescent="0.25">
      <c r="A23" s="3" t="s">
        <v>124</v>
      </c>
      <c r="B23" s="55"/>
      <c r="C23" s="55"/>
      <c r="E23" s="3" t="s">
        <v>124</v>
      </c>
      <c r="F23" s="55">
        <v>1202</v>
      </c>
      <c r="G23" s="55">
        <v>3875057.4400000004</v>
      </c>
      <c r="I23" s="3" t="s">
        <v>124</v>
      </c>
      <c r="J23" s="55"/>
      <c r="K23" s="55"/>
    </row>
    <row r="24" spans="1:11" x14ac:dyDescent="0.25">
      <c r="A24" s="3" t="s">
        <v>125</v>
      </c>
      <c r="B24" s="55"/>
      <c r="C24" s="55"/>
      <c r="E24" s="3" t="s">
        <v>125</v>
      </c>
      <c r="F24" s="55">
        <v>552</v>
      </c>
      <c r="G24" s="55">
        <v>777155</v>
      </c>
      <c r="I24" s="3" t="s">
        <v>125</v>
      </c>
      <c r="J24" s="55"/>
      <c r="K24" s="55"/>
    </row>
    <row r="25" spans="1:11" x14ac:dyDescent="0.25">
      <c r="A25" s="3" t="s">
        <v>126</v>
      </c>
      <c r="B25" s="55"/>
      <c r="C25" s="55"/>
      <c r="E25" s="3" t="s">
        <v>126</v>
      </c>
      <c r="F25" s="55">
        <v>2408</v>
      </c>
      <c r="G25" s="55">
        <v>4038563.24</v>
      </c>
      <c r="I25" s="3" t="s">
        <v>126</v>
      </c>
      <c r="J25" s="55"/>
      <c r="K25" s="55"/>
    </row>
    <row r="26" spans="1:11" x14ac:dyDescent="0.25">
      <c r="A26" s="3" t="s">
        <v>127</v>
      </c>
      <c r="B26" s="55"/>
      <c r="C26" s="55"/>
      <c r="E26" s="3" t="s">
        <v>127</v>
      </c>
      <c r="F26" s="55">
        <v>0</v>
      </c>
      <c r="G26" s="55">
        <v>0</v>
      </c>
      <c r="I26" s="3" t="s">
        <v>127</v>
      </c>
      <c r="J26" s="55"/>
      <c r="K26" s="55"/>
    </row>
    <row r="27" spans="1:11" x14ac:dyDescent="0.25">
      <c r="A27" s="3" t="s">
        <v>128</v>
      </c>
      <c r="B27" s="55"/>
      <c r="C27" s="55"/>
      <c r="E27" s="3" t="s">
        <v>128</v>
      </c>
      <c r="F27" s="55">
        <v>49</v>
      </c>
      <c r="G27" s="55">
        <v>11080</v>
      </c>
      <c r="I27" s="3" t="s">
        <v>128</v>
      </c>
      <c r="J27" s="55"/>
      <c r="K27" s="55"/>
    </row>
    <row r="28" spans="1:11" x14ac:dyDescent="0.25">
      <c r="A28" s="3" t="s">
        <v>129</v>
      </c>
      <c r="B28" s="55"/>
      <c r="C28" s="55"/>
      <c r="E28" s="3" t="s">
        <v>129</v>
      </c>
      <c r="F28" s="55">
        <v>12498</v>
      </c>
      <c r="G28" s="55">
        <v>17183804.899999999</v>
      </c>
      <c r="I28" s="3" t="s">
        <v>129</v>
      </c>
      <c r="J28" s="55"/>
      <c r="K28" s="55"/>
    </row>
    <row r="29" spans="1:11" x14ac:dyDescent="0.25">
      <c r="A29" s="3" t="s">
        <v>130</v>
      </c>
      <c r="B29" s="55"/>
      <c r="C29" s="55"/>
      <c r="E29" s="3" t="s">
        <v>130</v>
      </c>
      <c r="F29" s="55">
        <v>763</v>
      </c>
      <c r="G29" s="55">
        <v>2208105</v>
      </c>
      <c r="I29" s="3" t="s">
        <v>130</v>
      </c>
      <c r="J29" s="55"/>
      <c r="K29" s="55"/>
    </row>
    <row r="30" spans="1:11" x14ac:dyDescent="0.25">
      <c r="A30" s="3" t="s">
        <v>131</v>
      </c>
      <c r="B30" s="55"/>
      <c r="C30" s="55"/>
      <c r="E30" s="3" t="s">
        <v>131</v>
      </c>
      <c r="F30" s="55">
        <v>133590</v>
      </c>
      <c r="G30" s="55">
        <v>296133313.56000048</v>
      </c>
      <c r="I30" s="3" t="s">
        <v>131</v>
      </c>
      <c r="J30" s="55"/>
      <c r="K30" s="55"/>
    </row>
    <row r="31" spans="1:11" x14ac:dyDescent="0.25">
      <c r="A31" s="3" t="s">
        <v>132</v>
      </c>
      <c r="B31" s="55"/>
      <c r="C31" s="55"/>
      <c r="E31" s="3" t="s">
        <v>132</v>
      </c>
      <c r="F31" s="55">
        <v>1272</v>
      </c>
      <c r="G31" s="55">
        <v>9032378.9000000004</v>
      </c>
      <c r="I31" s="3" t="s">
        <v>132</v>
      </c>
      <c r="J31" s="55"/>
      <c r="K31" s="55"/>
    </row>
    <row r="32" spans="1:11" x14ac:dyDescent="0.25">
      <c r="A32" s="3" t="s">
        <v>133</v>
      </c>
      <c r="B32" s="55"/>
      <c r="C32" s="55"/>
      <c r="E32" s="3" t="s">
        <v>133</v>
      </c>
      <c r="F32" s="55">
        <v>37549</v>
      </c>
      <c r="G32" s="55">
        <v>42851095.559999995</v>
      </c>
      <c r="I32" s="3" t="s">
        <v>133</v>
      </c>
      <c r="J32" s="55"/>
      <c r="K32" s="55"/>
    </row>
    <row r="33" spans="1:11" x14ac:dyDescent="0.25">
      <c r="A33" s="3" t="s">
        <v>134</v>
      </c>
      <c r="B33" s="55"/>
      <c r="C33" s="55"/>
      <c r="E33" s="3" t="s">
        <v>134</v>
      </c>
      <c r="F33" s="55">
        <v>15362</v>
      </c>
      <c r="G33" s="55">
        <v>45055290.18999999</v>
      </c>
      <c r="I33" s="3" t="s">
        <v>134</v>
      </c>
      <c r="J33" s="55"/>
      <c r="K33" s="55"/>
    </row>
    <row r="34" spans="1:11" x14ac:dyDescent="0.25">
      <c r="A34" s="3" t="s">
        <v>135</v>
      </c>
      <c r="B34" s="55"/>
      <c r="C34" s="55"/>
      <c r="E34" s="3" t="s">
        <v>135</v>
      </c>
      <c r="F34" s="55">
        <v>19</v>
      </c>
      <c r="G34" s="55">
        <v>18310</v>
      </c>
      <c r="I34" s="3" t="s">
        <v>135</v>
      </c>
      <c r="J34" s="55"/>
      <c r="K34" s="55"/>
    </row>
    <row r="35" spans="1:11" x14ac:dyDescent="0.25">
      <c r="A35" s="3" t="s">
        <v>136</v>
      </c>
      <c r="B35" s="55"/>
      <c r="C35" s="55"/>
      <c r="E35" s="3" t="s">
        <v>136</v>
      </c>
      <c r="F35" s="55">
        <v>23</v>
      </c>
      <c r="G35" s="55">
        <v>19080.8</v>
      </c>
      <c r="I35" s="3" t="s">
        <v>136</v>
      </c>
      <c r="J35" s="55"/>
      <c r="K35" s="55"/>
    </row>
    <row r="36" spans="1:11" x14ac:dyDescent="0.25">
      <c r="A36" s="3" t="s">
        <v>137</v>
      </c>
      <c r="B36" s="55"/>
      <c r="C36" s="55"/>
      <c r="E36" s="3" t="s">
        <v>137</v>
      </c>
      <c r="F36" s="55">
        <v>9359</v>
      </c>
      <c r="G36" s="55">
        <v>18456691.129999995</v>
      </c>
      <c r="I36" s="3" t="s">
        <v>137</v>
      </c>
      <c r="J36" s="55"/>
      <c r="K36" s="55"/>
    </row>
    <row r="37" spans="1:11" x14ac:dyDescent="0.25">
      <c r="A37" s="3" t="s">
        <v>138</v>
      </c>
      <c r="B37" s="55"/>
      <c r="C37" s="55"/>
      <c r="E37" s="3" t="s">
        <v>138</v>
      </c>
      <c r="F37" s="55">
        <v>4398</v>
      </c>
      <c r="G37" s="55">
        <v>8759348.9900000002</v>
      </c>
      <c r="I37" s="3" t="s">
        <v>138</v>
      </c>
      <c r="J37" s="55"/>
      <c r="K37" s="55"/>
    </row>
    <row r="38" spans="1:11" x14ac:dyDescent="0.25">
      <c r="A38" s="3" t="s">
        <v>139</v>
      </c>
      <c r="B38" s="55"/>
      <c r="C38" s="55"/>
      <c r="E38" s="3" t="s">
        <v>139</v>
      </c>
      <c r="F38" s="55">
        <v>715</v>
      </c>
      <c r="G38" s="55">
        <v>743298</v>
      </c>
      <c r="I38" s="3" t="s">
        <v>139</v>
      </c>
      <c r="J38" s="55"/>
      <c r="K38" s="55"/>
    </row>
    <row r="39" spans="1:11" x14ac:dyDescent="0.25">
      <c r="A39" s="3" t="s">
        <v>140</v>
      </c>
      <c r="B39" s="55"/>
      <c r="C39" s="55"/>
      <c r="E39" s="3" t="s">
        <v>140</v>
      </c>
      <c r="F39" s="55">
        <v>24</v>
      </c>
      <c r="G39" s="55">
        <v>9775</v>
      </c>
      <c r="I39" s="3" t="s">
        <v>140</v>
      </c>
      <c r="J39" s="55"/>
      <c r="K39" s="55"/>
    </row>
    <row r="40" spans="1:11" x14ac:dyDescent="0.25">
      <c r="A40" s="3" t="s">
        <v>141</v>
      </c>
      <c r="B40" s="55"/>
      <c r="C40" s="55"/>
      <c r="E40" s="3" t="s">
        <v>141</v>
      </c>
      <c r="F40" s="55">
        <v>9171</v>
      </c>
      <c r="G40" s="55">
        <v>26650101.91</v>
      </c>
      <c r="I40" s="3" t="s">
        <v>141</v>
      </c>
      <c r="J40" s="55"/>
      <c r="K40" s="55"/>
    </row>
    <row r="41" spans="1:11" x14ac:dyDescent="0.25">
      <c r="A41" s="3" t="s">
        <v>142</v>
      </c>
      <c r="B41" s="55"/>
      <c r="C41" s="55"/>
      <c r="E41" s="3" t="s">
        <v>142</v>
      </c>
      <c r="F41" s="55">
        <v>401</v>
      </c>
      <c r="G41" s="55">
        <v>252928</v>
      </c>
      <c r="I41" s="3" t="s">
        <v>142</v>
      </c>
      <c r="J41" s="55"/>
      <c r="K41" s="55"/>
    </row>
    <row r="42" spans="1:11" x14ac:dyDescent="0.25">
      <c r="A42" s="3" t="s">
        <v>143</v>
      </c>
      <c r="B42" s="55"/>
      <c r="C42" s="55"/>
      <c r="E42" s="3" t="s">
        <v>143</v>
      </c>
      <c r="F42" s="55">
        <v>0</v>
      </c>
      <c r="G42" s="55">
        <v>0</v>
      </c>
      <c r="I42" s="3" t="s">
        <v>143</v>
      </c>
      <c r="J42" s="55"/>
      <c r="K42" s="55"/>
    </row>
    <row r="43" spans="1:11" x14ac:dyDescent="0.25">
      <c r="A43" s="3" t="s">
        <v>144</v>
      </c>
      <c r="B43" s="55"/>
      <c r="C43" s="55"/>
      <c r="E43" s="3" t="s">
        <v>144</v>
      </c>
      <c r="F43" s="55">
        <v>0</v>
      </c>
      <c r="G43" s="55">
        <v>0</v>
      </c>
      <c r="I43" s="3" t="s">
        <v>144</v>
      </c>
      <c r="J43" s="55"/>
      <c r="K43" s="55"/>
    </row>
    <row r="44" spans="1:11" x14ac:dyDescent="0.25">
      <c r="A44" s="3" t="s">
        <v>145</v>
      </c>
      <c r="B44" s="55"/>
      <c r="C44" s="55"/>
      <c r="E44" s="3" t="s">
        <v>145</v>
      </c>
      <c r="F44" s="55">
        <v>362</v>
      </c>
      <c r="G44" s="55">
        <v>590625</v>
      </c>
      <c r="I44" s="3" t="s">
        <v>145</v>
      </c>
      <c r="J44" s="55"/>
      <c r="K44" s="55"/>
    </row>
    <row r="45" spans="1:11" x14ac:dyDescent="0.25">
      <c r="A45" s="3" t="s">
        <v>146</v>
      </c>
      <c r="B45" s="55"/>
      <c r="C45" s="55"/>
      <c r="E45" s="3" t="s">
        <v>146</v>
      </c>
      <c r="F45" s="55">
        <v>1415</v>
      </c>
      <c r="G45" s="55">
        <v>2757369.31</v>
      </c>
      <c r="I45" s="3" t="s">
        <v>146</v>
      </c>
      <c r="J45" s="55"/>
      <c r="K45" s="55"/>
    </row>
    <row r="46" spans="1:11" x14ac:dyDescent="0.25">
      <c r="A46" s="3" t="s">
        <v>147</v>
      </c>
      <c r="B46" s="55"/>
      <c r="C46" s="55"/>
      <c r="E46" s="3" t="s">
        <v>147</v>
      </c>
      <c r="F46" s="55">
        <v>214</v>
      </c>
      <c r="G46" s="55">
        <v>98120</v>
      </c>
      <c r="I46" s="3" t="s">
        <v>147</v>
      </c>
      <c r="J46" s="55"/>
      <c r="K46" s="55"/>
    </row>
    <row r="47" spans="1:11" x14ac:dyDescent="0.25">
      <c r="A47" s="3" t="s">
        <v>148</v>
      </c>
      <c r="B47" s="55"/>
      <c r="C47" s="55"/>
      <c r="E47" s="3" t="s">
        <v>148</v>
      </c>
      <c r="F47" s="55">
        <v>1913</v>
      </c>
      <c r="G47" s="55">
        <v>4705146.0199999996</v>
      </c>
      <c r="I47" s="3" t="s">
        <v>148</v>
      </c>
      <c r="J47" s="55"/>
      <c r="K47" s="55"/>
    </row>
    <row r="48" spans="1:11" x14ac:dyDescent="0.25">
      <c r="A48" s="3" t="s">
        <v>149</v>
      </c>
      <c r="B48" s="55"/>
      <c r="C48" s="55"/>
      <c r="E48" s="3" t="s">
        <v>149</v>
      </c>
      <c r="F48" s="55">
        <v>2371</v>
      </c>
      <c r="G48" s="55">
        <v>2792932.88</v>
      </c>
      <c r="I48" s="3" t="s">
        <v>149</v>
      </c>
      <c r="J48" s="55"/>
      <c r="K48" s="55"/>
    </row>
    <row r="49" spans="1:11" x14ac:dyDescent="0.25">
      <c r="A49" s="3" t="s">
        <v>150</v>
      </c>
      <c r="B49" s="55"/>
      <c r="C49" s="55"/>
      <c r="E49" s="3" t="s">
        <v>150</v>
      </c>
      <c r="F49" s="55">
        <v>1256</v>
      </c>
      <c r="G49" s="55">
        <v>2614030.04</v>
      </c>
      <c r="I49" s="3" t="s">
        <v>150</v>
      </c>
      <c r="J49" s="55"/>
      <c r="K49" s="55"/>
    </row>
    <row r="50" spans="1:11" x14ac:dyDescent="0.25">
      <c r="A50" s="3" t="s">
        <v>151</v>
      </c>
      <c r="B50" s="55"/>
      <c r="C50" s="55"/>
      <c r="E50" s="3" t="s">
        <v>151</v>
      </c>
      <c r="F50" s="55">
        <v>1016</v>
      </c>
      <c r="G50" s="55">
        <v>1487770.06</v>
      </c>
      <c r="I50" s="3" t="s">
        <v>151</v>
      </c>
      <c r="J50" s="55"/>
      <c r="K50" s="55"/>
    </row>
    <row r="51" spans="1:11" x14ac:dyDescent="0.25">
      <c r="A51" s="3" t="s">
        <v>152</v>
      </c>
      <c r="B51" s="55"/>
      <c r="C51" s="55"/>
      <c r="E51" s="3" t="s">
        <v>152</v>
      </c>
      <c r="F51" s="55">
        <v>11785</v>
      </c>
      <c r="G51" s="55">
        <v>29432659.620000012</v>
      </c>
      <c r="I51" s="3" t="s">
        <v>152</v>
      </c>
      <c r="J51" s="55"/>
      <c r="K51" s="55"/>
    </row>
    <row r="52" spans="1:11" x14ac:dyDescent="0.25">
      <c r="A52" s="3" t="s">
        <v>153</v>
      </c>
      <c r="B52" s="55"/>
      <c r="C52" s="55"/>
      <c r="E52" s="3" t="s">
        <v>153</v>
      </c>
      <c r="F52" s="55">
        <v>105</v>
      </c>
      <c r="G52" s="55">
        <v>191485</v>
      </c>
      <c r="I52" s="3" t="s">
        <v>153</v>
      </c>
      <c r="J52" s="55"/>
      <c r="K52" s="55"/>
    </row>
    <row r="53" spans="1:11" x14ac:dyDescent="0.25">
      <c r="A53" s="3" t="s">
        <v>154</v>
      </c>
      <c r="B53" s="55"/>
      <c r="C53" s="55"/>
      <c r="E53" s="3" t="s">
        <v>154</v>
      </c>
      <c r="F53" s="55">
        <v>1486</v>
      </c>
      <c r="G53" s="55">
        <v>2967153.2</v>
      </c>
      <c r="I53" s="3" t="s">
        <v>154</v>
      </c>
      <c r="J53" s="55"/>
      <c r="K53" s="55"/>
    </row>
    <row r="54" spans="1:11" x14ac:dyDescent="0.25">
      <c r="A54" s="3" t="s">
        <v>155</v>
      </c>
      <c r="B54" s="55"/>
      <c r="C54" s="55"/>
      <c r="E54" s="3" t="s">
        <v>155</v>
      </c>
      <c r="F54" s="55">
        <v>866</v>
      </c>
      <c r="G54" s="55">
        <v>1764640.69</v>
      </c>
      <c r="I54" s="3" t="s">
        <v>155</v>
      </c>
      <c r="J54" s="55"/>
      <c r="K54" s="55"/>
    </row>
    <row r="55" spans="1:11" x14ac:dyDescent="0.25">
      <c r="A55" s="3" t="s">
        <v>156</v>
      </c>
      <c r="B55" s="55"/>
      <c r="C55" s="55"/>
      <c r="E55" s="3" t="s">
        <v>156</v>
      </c>
      <c r="F55" s="55">
        <v>6646</v>
      </c>
      <c r="G55" s="55">
        <v>18604402.429999996</v>
      </c>
      <c r="I55" s="3" t="s">
        <v>156</v>
      </c>
      <c r="J55" s="55"/>
      <c r="K55" s="55"/>
    </row>
    <row r="56" spans="1:11" x14ac:dyDescent="0.25">
      <c r="A56" s="3" t="s">
        <v>157</v>
      </c>
      <c r="B56" s="55"/>
      <c r="C56" s="55"/>
      <c r="E56" s="3" t="s">
        <v>157</v>
      </c>
      <c r="F56" s="55">
        <v>3733</v>
      </c>
      <c r="G56" s="55">
        <v>15371375.670000002</v>
      </c>
      <c r="I56" s="3" t="s">
        <v>157</v>
      </c>
      <c r="J56" s="55"/>
      <c r="K56" s="55"/>
    </row>
    <row r="57" spans="1:11" x14ac:dyDescent="0.25">
      <c r="A57" s="3" t="s">
        <v>158</v>
      </c>
      <c r="B57" s="55"/>
      <c r="C57" s="55"/>
      <c r="E57" s="3" t="s">
        <v>158</v>
      </c>
      <c r="F57" s="55">
        <v>231</v>
      </c>
      <c r="G57" s="55">
        <v>2125667</v>
      </c>
      <c r="I57" s="3" t="s">
        <v>158</v>
      </c>
      <c r="J57" s="55"/>
      <c r="K57" s="55"/>
    </row>
    <row r="58" spans="1:11" x14ac:dyDescent="0.25">
      <c r="A58" s="3" t="s">
        <v>159</v>
      </c>
      <c r="B58" s="55"/>
      <c r="C58" s="55"/>
      <c r="E58" s="3" t="s">
        <v>159</v>
      </c>
      <c r="F58" s="55">
        <v>0</v>
      </c>
      <c r="G58" s="55">
        <v>0</v>
      </c>
      <c r="I58" s="3" t="s">
        <v>159</v>
      </c>
      <c r="J58" s="55"/>
      <c r="K58" s="55"/>
    </row>
    <row r="59" spans="1:11" x14ac:dyDescent="0.25">
      <c r="A59" s="3" t="s">
        <v>160</v>
      </c>
      <c r="B59" s="55"/>
      <c r="C59" s="55"/>
      <c r="E59" s="3" t="s">
        <v>160</v>
      </c>
      <c r="F59" s="55">
        <v>7349</v>
      </c>
      <c r="G59" s="55">
        <v>16564587.099999998</v>
      </c>
      <c r="I59" s="3" t="s">
        <v>160</v>
      </c>
      <c r="J59" s="55"/>
      <c r="K59" s="55"/>
    </row>
    <row r="60" spans="1:11" x14ac:dyDescent="0.25">
      <c r="A60" s="3" t="s">
        <v>161</v>
      </c>
      <c r="B60" s="55"/>
      <c r="C60" s="55"/>
      <c r="E60" s="3" t="s">
        <v>161</v>
      </c>
      <c r="F60" s="55">
        <v>1837</v>
      </c>
      <c r="G60" s="55">
        <v>3850877.4400000004</v>
      </c>
      <c r="I60" s="3" t="s">
        <v>161</v>
      </c>
      <c r="J60" s="55"/>
      <c r="K60" s="55"/>
    </row>
    <row r="61" spans="1:11" x14ac:dyDescent="0.25">
      <c r="A61" s="3" t="s">
        <v>162</v>
      </c>
      <c r="B61" s="55"/>
      <c r="C61" s="55"/>
      <c r="E61" s="3" t="s">
        <v>162</v>
      </c>
      <c r="F61" s="55">
        <v>47</v>
      </c>
      <c r="G61" s="55">
        <v>49580</v>
      </c>
      <c r="I61" s="3" t="s">
        <v>162</v>
      </c>
      <c r="J61" s="55"/>
      <c r="K61" s="55"/>
    </row>
    <row r="62" spans="1:11" x14ac:dyDescent="0.25">
      <c r="A62" s="3" t="s">
        <v>163</v>
      </c>
      <c r="B62" s="55"/>
      <c r="C62" s="55"/>
      <c r="E62" s="3" t="s">
        <v>163</v>
      </c>
      <c r="F62" s="55">
        <v>189</v>
      </c>
      <c r="G62" s="55">
        <v>172110</v>
      </c>
      <c r="I62" s="3" t="s">
        <v>163</v>
      </c>
      <c r="J62" s="55"/>
      <c r="K62" s="55"/>
    </row>
    <row r="63" spans="1:11" x14ac:dyDescent="0.25">
      <c r="A63" s="3" t="s">
        <v>164</v>
      </c>
      <c r="B63" s="55"/>
      <c r="C63" s="55"/>
      <c r="E63" s="3" t="s">
        <v>164</v>
      </c>
      <c r="F63" s="55">
        <v>0</v>
      </c>
      <c r="G63" s="55">
        <v>0</v>
      </c>
      <c r="I63" s="3" t="s">
        <v>164</v>
      </c>
      <c r="J63" s="55"/>
      <c r="K63" s="55"/>
    </row>
    <row r="64" spans="1:11" x14ac:dyDescent="0.25">
      <c r="A64" s="3" t="s">
        <v>165</v>
      </c>
      <c r="B64" s="55"/>
      <c r="C64" s="55"/>
      <c r="E64" s="3" t="s">
        <v>165</v>
      </c>
      <c r="F64" s="55">
        <v>0</v>
      </c>
      <c r="G64" s="55">
        <v>0</v>
      </c>
      <c r="I64" s="3" t="s">
        <v>165</v>
      </c>
      <c r="J64" s="55"/>
      <c r="K64" s="55"/>
    </row>
    <row r="65" spans="1:11" x14ac:dyDescent="0.25">
      <c r="A65" s="3" t="s">
        <v>166</v>
      </c>
      <c r="B65" s="55"/>
      <c r="C65" s="55"/>
      <c r="E65" s="3" t="s">
        <v>166</v>
      </c>
      <c r="F65" s="55">
        <v>0</v>
      </c>
      <c r="G65" s="55">
        <v>0</v>
      </c>
      <c r="I65" s="3" t="s">
        <v>166</v>
      </c>
      <c r="J65" s="55"/>
      <c r="K65" s="55"/>
    </row>
    <row r="66" spans="1:11" x14ac:dyDescent="0.25">
      <c r="A66" s="3" t="s">
        <v>167</v>
      </c>
      <c r="B66" s="55"/>
      <c r="C66" s="55"/>
      <c r="E66" s="3" t="s">
        <v>167</v>
      </c>
      <c r="F66" s="55">
        <v>15</v>
      </c>
      <c r="G66" s="55">
        <v>22715</v>
      </c>
      <c r="I66" s="3" t="s">
        <v>167</v>
      </c>
      <c r="J66" s="55"/>
      <c r="K66" s="55"/>
    </row>
    <row r="67" spans="1:11" x14ac:dyDescent="0.25">
      <c r="A67" s="3" t="s">
        <v>168</v>
      </c>
      <c r="B67" s="55"/>
      <c r="C67" s="55"/>
      <c r="E67" s="3" t="s">
        <v>168</v>
      </c>
      <c r="F67" s="55">
        <v>0</v>
      </c>
      <c r="G67" s="55">
        <v>0</v>
      </c>
      <c r="I67" s="3" t="s">
        <v>168</v>
      </c>
      <c r="J67" s="55"/>
      <c r="K67" s="55"/>
    </row>
    <row r="68" spans="1:11" x14ac:dyDescent="0.25">
      <c r="A68" s="3" t="s">
        <v>169</v>
      </c>
      <c r="B68" s="55"/>
      <c r="C68" s="55"/>
      <c r="E68" s="3" t="s">
        <v>169</v>
      </c>
      <c r="F68" s="55">
        <v>4338</v>
      </c>
      <c r="G68" s="55">
        <v>7270264.0199999996</v>
      </c>
      <c r="I68" s="3" t="s">
        <v>169</v>
      </c>
      <c r="J68" s="55"/>
      <c r="K68" s="55"/>
    </row>
    <row r="69" spans="1:11" x14ac:dyDescent="0.25">
      <c r="A69" s="3" t="s">
        <v>170</v>
      </c>
      <c r="B69" s="55"/>
      <c r="C69" s="55"/>
      <c r="E69" s="3" t="s">
        <v>170</v>
      </c>
      <c r="F69" s="55">
        <v>0</v>
      </c>
      <c r="G69" s="55">
        <v>0</v>
      </c>
      <c r="I69" s="3" t="s">
        <v>170</v>
      </c>
      <c r="J69" s="55"/>
      <c r="K69" s="55"/>
    </row>
    <row r="70" spans="1:11" x14ac:dyDescent="0.25">
      <c r="A70" s="3" t="s">
        <v>171</v>
      </c>
      <c r="B70" s="55"/>
      <c r="C70" s="55"/>
      <c r="E70" s="3" t="s">
        <v>171</v>
      </c>
      <c r="F70" s="55">
        <v>1335</v>
      </c>
      <c r="G70" s="55">
        <v>3028477</v>
      </c>
      <c r="I70" s="3" t="s">
        <v>171</v>
      </c>
      <c r="J70" s="55"/>
      <c r="K70" s="55"/>
    </row>
    <row r="71" spans="1:11" x14ac:dyDescent="0.25">
      <c r="A71" s="3" t="s">
        <v>172</v>
      </c>
      <c r="B71" s="55"/>
      <c r="C71" s="55"/>
      <c r="E71" s="3" t="s">
        <v>172</v>
      </c>
      <c r="F71" s="55">
        <v>7231</v>
      </c>
      <c r="G71" s="55">
        <v>6968405.1400000034</v>
      </c>
      <c r="I71" s="3" t="s">
        <v>172</v>
      </c>
      <c r="J71" s="55"/>
      <c r="K71" s="55"/>
    </row>
    <row r="72" spans="1:11" x14ac:dyDescent="0.25">
      <c r="A72" s="3" t="s">
        <v>173</v>
      </c>
      <c r="B72" s="55"/>
      <c r="C72" s="55"/>
      <c r="E72" s="3" t="s">
        <v>173</v>
      </c>
      <c r="F72" s="55">
        <v>0</v>
      </c>
      <c r="G72" s="55">
        <v>0</v>
      </c>
      <c r="I72" s="3" t="s">
        <v>173</v>
      </c>
      <c r="J72" s="55"/>
      <c r="K72" s="55"/>
    </row>
    <row r="73" spans="1:11" x14ac:dyDescent="0.25">
      <c r="A73" s="3" t="s">
        <v>174</v>
      </c>
      <c r="B73" s="55"/>
      <c r="C73" s="55"/>
      <c r="E73" s="3" t="s">
        <v>174</v>
      </c>
      <c r="F73" s="55">
        <v>0</v>
      </c>
      <c r="G73" s="55">
        <v>0</v>
      </c>
      <c r="I73" s="3" t="s">
        <v>174</v>
      </c>
      <c r="J73" s="55"/>
      <c r="K73" s="55"/>
    </row>
    <row r="74" spans="1:11" x14ac:dyDescent="0.25">
      <c r="A74" s="3" t="s">
        <v>175</v>
      </c>
      <c r="B74" s="55"/>
      <c r="C74" s="55"/>
      <c r="E74" s="3" t="s">
        <v>175</v>
      </c>
      <c r="F74" s="55">
        <v>0</v>
      </c>
      <c r="G74" s="55">
        <v>0</v>
      </c>
      <c r="I74" s="3" t="s">
        <v>175</v>
      </c>
      <c r="J74" s="55"/>
      <c r="K74" s="55"/>
    </row>
    <row r="75" spans="1:11" x14ac:dyDescent="0.25">
      <c r="A75" s="3" t="s">
        <v>176</v>
      </c>
      <c r="B75" s="55"/>
      <c r="C75" s="55"/>
      <c r="E75" s="3" t="s">
        <v>176</v>
      </c>
      <c r="F75" s="55">
        <v>0</v>
      </c>
      <c r="G75" s="55">
        <v>0</v>
      </c>
      <c r="I75" s="3" t="s">
        <v>176</v>
      </c>
      <c r="J75" s="55"/>
      <c r="K75" s="55"/>
    </row>
    <row r="76" spans="1:11" x14ac:dyDescent="0.25">
      <c r="A76" s="3" t="s">
        <v>177</v>
      </c>
      <c r="B76" s="55"/>
      <c r="C76" s="55"/>
      <c r="E76" s="3" t="s">
        <v>177</v>
      </c>
      <c r="F76" s="55">
        <v>10137</v>
      </c>
      <c r="G76" s="55">
        <v>11200595.399999999</v>
      </c>
      <c r="I76" s="3" t="s">
        <v>177</v>
      </c>
      <c r="J76" s="55"/>
      <c r="K76" s="55"/>
    </row>
    <row r="77" spans="1:11" x14ac:dyDescent="0.25">
      <c r="A77" s="3" t="s">
        <v>178</v>
      </c>
      <c r="B77" s="55"/>
      <c r="C77" s="55"/>
      <c r="E77" s="3" t="s">
        <v>178</v>
      </c>
      <c r="F77" s="55"/>
      <c r="G77" s="55"/>
      <c r="I77" s="3" t="s">
        <v>178</v>
      </c>
      <c r="J77" s="55"/>
      <c r="K77" s="55"/>
    </row>
    <row r="78" spans="1:11" x14ac:dyDescent="0.25">
      <c r="A78" s="3" t="s">
        <v>179</v>
      </c>
      <c r="B78" s="55"/>
      <c r="C78" s="55"/>
      <c r="E78" s="3" t="s">
        <v>179</v>
      </c>
      <c r="F78" s="55"/>
      <c r="G78" s="55"/>
      <c r="I78" s="3" t="s">
        <v>179</v>
      </c>
      <c r="J78" s="55"/>
      <c r="K78" s="55"/>
    </row>
    <row r="79" spans="1:11" ht="16.5" thickBot="1" x14ac:dyDescent="0.3">
      <c r="A79" s="27" t="s">
        <v>180</v>
      </c>
      <c r="B79" s="65"/>
      <c r="C79" s="65"/>
      <c r="E79" s="3" t="s">
        <v>180</v>
      </c>
      <c r="F79" s="55"/>
      <c r="G79" s="55"/>
      <c r="I79" s="3" t="s">
        <v>180</v>
      </c>
      <c r="J79" s="55"/>
      <c r="K79" s="55"/>
    </row>
    <row r="80" spans="1:11" ht="16.5" thickBot="1" x14ac:dyDescent="0.3">
      <c r="A80" s="48" t="s">
        <v>72</v>
      </c>
      <c r="B80" s="49">
        <f>SUM(B3:B79)</f>
        <v>0</v>
      </c>
      <c r="C80" s="49">
        <f>SUM(C3:C79)</f>
        <v>0</v>
      </c>
      <c r="E80" s="48" t="s">
        <v>72</v>
      </c>
      <c r="F80" s="49">
        <f>SUM(F3:F79)</f>
        <v>331258</v>
      </c>
      <c r="G80" s="49">
        <f>SUM(G3:G79)</f>
        <v>670992851.16000032</v>
      </c>
      <c r="I80" s="48" t="s">
        <v>72</v>
      </c>
      <c r="J80" s="49">
        <f>SUM(J3:J79)</f>
        <v>0</v>
      </c>
      <c r="K80" s="49">
        <f>SUM(K3:K79)</f>
        <v>0</v>
      </c>
    </row>
  </sheetData>
  <sheetProtection algorithmName="SHA-512" hashValue="Yp4ZFCdl/h+hnnrIYqDLwm2QI62XvB98FVDFypM3a1N27oxANT8Z/BXWJTuCHsr2jg3D9ZdHRkoMmNfyjSOQwg==" saltValue="v3galdo8gnvadVG6n4+gwg==" spinCount="100000" sheet="1" objects="1" scenarios="1"/>
  <dataValidations count="1">
    <dataValidation type="decimal" allowBlank="1" showInputMessage="1" showErrorMessage="1" sqref="B3:C79 F3:G79 J3:K79" xr:uid="{00000000-0002-0000-0900-000000000000}">
      <formula1>0</formula1>
      <formula2>1000000000000000000</formula2>
    </dataValidation>
  </dataValidations>
  <pageMargins left="0.7" right="0.7" top="0.75" bottom="0.75" header="0.3" footer="0.3"/>
  <pageSetup scale="47"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K7"/>
  <sheetViews>
    <sheetView showGridLines="0" topLeftCell="B1" workbookViewId="0">
      <selection activeCell="F4" sqref="F4"/>
    </sheetView>
  </sheetViews>
  <sheetFormatPr defaultRowHeight="15.75" x14ac:dyDescent="0.25"/>
  <cols>
    <col min="1" max="1" width="40.375" bestFit="1" customWidth="1"/>
    <col min="2" max="2" width="18" bestFit="1" customWidth="1"/>
    <col min="3" max="3" width="16.375" bestFit="1" customWidth="1"/>
    <col min="5" max="5" width="37.125" bestFit="1" customWidth="1"/>
    <col min="6" max="6" width="18" bestFit="1" customWidth="1"/>
    <col min="7" max="7" width="16.375" bestFit="1" customWidth="1"/>
    <col min="9" max="9" width="40.375" bestFit="1" customWidth="1"/>
    <col min="10" max="10" width="18" bestFit="1" customWidth="1"/>
    <col min="11" max="11" width="16.375" bestFit="1" customWidth="1"/>
  </cols>
  <sheetData>
    <row r="1" spans="1:11" x14ac:dyDescent="0.25">
      <c r="A1" s="5" t="str">
        <f>"Local Level Wise Merchant Transactions for the Month"&amp;" "&amp;'Home Page'!$C$5</f>
        <v>Local Level Wise Merchant Transactions for the Month Ashwin</v>
      </c>
      <c r="B1" s="6"/>
      <c r="C1" s="6"/>
      <c r="D1" s="6"/>
      <c r="E1" s="6"/>
      <c r="F1" s="6"/>
      <c r="G1" s="6"/>
      <c r="H1" s="6"/>
      <c r="I1" s="6"/>
      <c r="J1" s="6"/>
      <c r="K1" s="6"/>
    </row>
    <row r="2" spans="1:11" x14ac:dyDescent="0.25">
      <c r="A2" s="2" t="s">
        <v>30</v>
      </c>
      <c r="B2" s="2" t="s">
        <v>58</v>
      </c>
      <c r="C2" s="2" t="s">
        <v>73</v>
      </c>
      <c r="E2" s="2" t="s">
        <v>33</v>
      </c>
      <c r="F2" s="2" t="s">
        <v>58</v>
      </c>
      <c r="G2" s="2" t="s">
        <v>73</v>
      </c>
      <c r="I2" s="2" t="s">
        <v>36</v>
      </c>
      <c r="J2" s="2" t="s">
        <v>58</v>
      </c>
      <c r="K2" s="2" t="s">
        <v>73</v>
      </c>
    </row>
    <row r="3" spans="1:11" x14ac:dyDescent="0.25">
      <c r="A3" s="3" t="s">
        <v>17</v>
      </c>
      <c r="B3" s="55"/>
      <c r="C3" s="55"/>
      <c r="E3" s="3" t="s">
        <v>17</v>
      </c>
      <c r="F3" s="55">
        <v>30282</v>
      </c>
      <c r="G3" s="55">
        <v>63156198.079999998</v>
      </c>
      <c r="I3" s="3" t="s">
        <v>17</v>
      </c>
      <c r="J3" s="55"/>
      <c r="K3" s="55"/>
    </row>
    <row r="4" spans="1:11" x14ac:dyDescent="0.25">
      <c r="A4" s="3" t="s">
        <v>18</v>
      </c>
      <c r="B4" s="55"/>
      <c r="C4" s="55"/>
      <c r="E4" s="3" t="s">
        <v>18</v>
      </c>
      <c r="F4" s="55">
        <v>115251</v>
      </c>
      <c r="G4" s="55">
        <v>277560984.56000018</v>
      </c>
      <c r="I4" s="3" t="s">
        <v>18</v>
      </c>
      <c r="J4" s="55"/>
      <c r="K4" s="55"/>
    </row>
    <row r="5" spans="1:11" x14ac:dyDescent="0.25">
      <c r="A5" s="3" t="s">
        <v>19</v>
      </c>
      <c r="B5" s="55"/>
      <c r="C5" s="55"/>
      <c r="E5" s="3" t="s">
        <v>19</v>
      </c>
      <c r="F5" s="55">
        <v>158522</v>
      </c>
      <c r="G5" s="55">
        <v>271225084.44000006</v>
      </c>
      <c r="I5" s="3" t="s">
        <v>19</v>
      </c>
      <c r="J5" s="55"/>
      <c r="K5" s="55"/>
    </row>
    <row r="6" spans="1:11" ht="16.5" thickBot="1" x14ac:dyDescent="0.3">
      <c r="A6" s="27" t="s">
        <v>20</v>
      </c>
      <c r="B6" s="65"/>
      <c r="C6" s="65"/>
      <c r="E6" s="27" t="s">
        <v>20</v>
      </c>
      <c r="F6" s="65">
        <v>27203</v>
      </c>
      <c r="G6" s="65">
        <v>59050584.079999998</v>
      </c>
      <c r="I6" s="3" t="s">
        <v>20</v>
      </c>
      <c r="J6" s="55"/>
      <c r="K6" s="55"/>
    </row>
    <row r="7" spans="1:11" ht="16.5" thickBot="1" x14ac:dyDescent="0.3">
      <c r="A7" s="31" t="s">
        <v>72</v>
      </c>
      <c r="B7" s="32">
        <f t="shared" ref="B7:C7" si="0">SUM(B3:B6)</f>
        <v>0</v>
      </c>
      <c r="C7" s="33">
        <f t="shared" si="0"/>
        <v>0</v>
      </c>
      <c r="E7" s="31" t="s">
        <v>72</v>
      </c>
      <c r="F7" s="29">
        <f t="shared" ref="F7:G7" si="1">SUM(F3:F6)</f>
        <v>331258</v>
      </c>
      <c r="G7" s="30">
        <f t="shared" si="1"/>
        <v>670992851.16000021</v>
      </c>
      <c r="I7" s="31" t="s">
        <v>72</v>
      </c>
      <c r="J7" s="29">
        <f t="shared" ref="J7:K7" si="2">SUM(J3:J6)</f>
        <v>0</v>
      </c>
      <c r="K7" s="30">
        <f t="shared" si="2"/>
        <v>0</v>
      </c>
    </row>
  </sheetData>
  <sheetProtection algorithmName="SHA-512" hashValue="Q5kzDkRsdSTt32124+7zwb5ij7nu7CAIYm/H04FT2KoE1KqRbpTlkpMdYpMpT0BTCK29WErpuqRlDSBL8fiYGg==" saltValue="6M3MhMRwCG8I/DTF30s4xA==" spinCount="100000" sheet="1" objects="1" scenarios="1"/>
  <dataValidations count="1">
    <dataValidation type="decimal" allowBlank="1" showInputMessage="1" showErrorMessage="1" sqref="B3:C6 F3:G6 J3:K6" xr:uid="{00000000-0002-0000-0A00-000000000000}">
      <formula1>0</formula1>
      <formula2>10000000000000000</formula2>
    </dataValidation>
  </dataValidations>
  <pageMargins left="0.7" right="0.7" top="0.75" bottom="0.75" header="0.3" footer="0.3"/>
  <pageSetup scale="47"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C7"/>
  <sheetViews>
    <sheetView showGridLines="0" workbookViewId="0">
      <selection activeCell="B4" sqref="B4"/>
    </sheetView>
  </sheetViews>
  <sheetFormatPr defaultRowHeight="15.75" x14ac:dyDescent="0.25"/>
  <cols>
    <col min="1" max="1" width="48.75" bestFit="1" customWidth="1"/>
    <col min="2" max="2" width="18" bestFit="1" customWidth="1"/>
    <col min="3" max="3" width="16.375" bestFit="1" customWidth="1"/>
  </cols>
  <sheetData>
    <row r="1" spans="1:3" x14ac:dyDescent="0.25">
      <c r="A1" s="1" t="str">
        <f>"Transactions of Merchants Onboarded by Licensed Institutions-Gender Wise for the Month"&amp;" "&amp;'Home Page'!$C$5</f>
        <v>Transactions of Merchants Onboarded by Licensed Institutions-Gender Wise for the Month Ashwin</v>
      </c>
    </row>
    <row r="2" spans="1:3" x14ac:dyDescent="0.25">
      <c r="A2" s="2" t="s">
        <v>78</v>
      </c>
      <c r="B2" s="2" t="s">
        <v>58</v>
      </c>
      <c r="C2" s="2" t="s">
        <v>73</v>
      </c>
    </row>
    <row r="3" spans="1:3" x14ac:dyDescent="0.25">
      <c r="A3" s="3" t="s">
        <v>47</v>
      </c>
      <c r="B3" s="55">
        <v>75073</v>
      </c>
      <c r="C3" s="55">
        <v>78628523.119999856</v>
      </c>
    </row>
    <row r="4" spans="1:3" x14ac:dyDescent="0.25">
      <c r="A4" s="3" t="s">
        <v>48</v>
      </c>
      <c r="B4" s="55">
        <v>132008</v>
      </c>
      <c r="C4" s="55">
        <v>176150505.56000003</v>
      </c>
    </row>
    <row r="5" spans="1:3" x14ac:dyDescent="0.25">
      <c r="A5" s="3" t="s">
        <v>56</v>
      </c>
      <c r="B5" s="55"/>
      <c r="C5" s="55"/>
    </row>
    <row r="6" spans="1:3" ht="16.5" thickBot="1" x14ac:dyDescent="0.3">
      <c r="A6" s="27" t="s">
        <v>55</v>
      </c>
      <c r="B6" s="65">
        <v>124177</v>
      </c>
      <c r="C6" s="65">
        <v>416213822.48000008</v>
      </c>
    </row>
    <row r="7" spans="1:3" ht="16.5" thickBot="1" x14ac:dyDescent="0.3">
      <c r="A7" s="31" t="s">
        <v>72</v>
      </c>
      <c r="B7" s="29">
        <f>SUM(B3:B6)</f>
        <v>331258</v>
      </c>
      <c r="C7" s="30">
        <f>SUM(C3:C6)</f>
        <v>670992851.15999997</v>
      </c>
    </row>
  </sheetData>
  <sheetProtection algorithmName="SHA-512" hashValue="L1tWG0L+3fbwE3VL2gtiZl8pwtMX6wI3EMFW2JpDI+htZJDbBfu0nQTP6JFlpxLcgZ8G4YexKF7Crb2oeD3Cwg==" saltValue="KQqbL7c9tjMeVIUYRjBFcw==" spinCount="100000" sheet="1" objects="1" scenarios="1"/>
  <dataValidations count="1">
    <dataValidation type="decimal" allowBlank="1" showInputMessage="1" showErrorMessage="1" sqref="B3:C6" xr:uid="{00000000-0002-0000-0B00-000000000000}">
      <formula1>0</formula1>
      <formula2>100000000000000000</formula2>
    </dataValidation>
  </dataValidations>
  <pageMargins left="0.7" right="0.7" top="0.75" bottom="0.75" header="0.3" footer="0.3"/>
  <pageSetup scale="47"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I26"/>
  <sheetViews>
    <sheetView showGridLines="0" workbookViewId="0">
      <selection activeCell="H6" sqref="H6"/>
    </sheetView>
  </sheetViews>
  <sheetFormatPr defaultRowHeight="15.75" x14ac:dyDescent="0.25"/>
  <cols>
    <col min="1" max="1" width="25.75" bestFit="1" customWidth="1"/>
    <col min="2" max="2" width="14.375" bestFit="1" customWidth="1"/>
    <col min="3" max="3" width="15.375" bestFit="1" customWidth="1"/>
    <col min="4" max="4" width="8.25" bestFit="1" customWidth="1"/>
    <col min="5" max="5" width="10.625" bestFit="1" customWidth="1"/>
    <col min="6" max="6" width="11.125" bestFit="1" customWidth="1"/>
    <col min="7" max="7" width="12.625" bestFit="1" customWidth="1"/>
    <col min="8" max="8" width="21.875" bestFit="1" customWidth="1"/>
    <col min="9" max="9" width="4.375" bestFit="1" customWidth="1"/>
  </cols>
  <sheetData>
    <row r="1" spans="1:9" s="1" customFormat="1" x14ac:dyDescent="0.25">
      <c r="A1" s="5" t="s">
        <v>194</v>
      </c>
      <c r="B1" s="5"/>
      <c r="C1" s="5"/>
      <c r="D1" s="5"/>
      <c r="E1" s="5"/>
      <c r="F1" s="5"/>
      <c r="G1" s="5"/>
      <c r="H1" s="5"/>
      <c r="I1" s="5"/>
    </row>
    <row r="2" spans="1:9" x14ac:dyDescent="0.25">
      <c r="A2" s="5" t="s">
        <v>189</v>
      </c>
      <c r="B2" s="6"/>
      <c r="C2" s="6"/>
      <c r="D2" s="6"/>
      <c r="E2" s="6"/>
      <c r="F2" s="6"/>
      <c r="G2" s="6"/>
      <c r="H2" s="6"/>
      <c r="I2" s="6"/>
    </row>
    <row r="3" spans="1:9" x14ac:dyDescent="0.25">
      <c r="A3" s="2" t="s">
        <v>38</v>
      </c>
      <c r="B3" s="2" t="s">
        <v>44</v>
      </c>
      <c r="C3" s="2" t="s">
        <v>79</v>
      </c>
      <c r="D3" s="2" t="s">
        <v>45</v>
      </c>
      <c r="E3" s="2" t="s">
        <v>80</v>
      </c>
      <c r="F3" s="2" t="s">
        <v>81</v>
      </c>
      <c r="G3" s="2" t="s">
        <v>82</v>
      </c>
      <c r="H3" s="2" t="s">
        <v>86</v>
      </c>
      <c r="I3" s="35" t="s">
        <v>87</v>
      </c>
    </row>
    <row r="4" spans="1:9" x14ac:dyDescent="0.25">
      <c r="A4" s="3" t="s">
        <v>42</v>
      </c>
      <c r="B4" s="55">
        <v>383318</v>
      </c>
      <c r="C4" s="55"/>
      <c r="D4" s="55"/>
      <c r="E4" s="55"/>
      <c r="F4" s="55"/>
      <c r="G4" s="55"/>
      <c r="H4" s="55">
        <v>16614</v>
      </c>
      <c r="I4" s="55"/>
    </row>
    <row r="5" spans="1:9" x14ac:dyDescent="0.25">
      <c r="A5" s="3" t="s">
        <v>43</v>
      </c>
      <c r="B5" s="55"/>
      <c r="C5" s="55"/>
      <c r="D5" s="55"/>
      <c r="E5" s="55"/>
      <c r="F5" s="55"/>
      <c r="G5" s="55"/>
      <c r="H5" s="55"/>
      <c r="I5" s="55"/>
    </row>
    <row r="6" spans="1:9" x14ac:dyDescent="0.25">
      <c r="A6" s="3" t="s">
        <v>39</v>
      </c>
      <c r="B6" s="55">
        <v>1829</v>
      </c>
      <c r="C6" s="55"/>
      <c r="D6" s="55"/>
      <c r="E6" s="55"/>
      <c r="F6" s="55"/>
      <c r="G6" s="55"/>
      <c r="H6" s="55">
        <v>66</v>
      </c>
      <c r="I6" s="55"/>
    </row>
    <row r="7" spans="1:9" x14ac:dyDescent="0.25">
      <c r="A7" s="3" t="s">
        <v>40</v>
      </c>
      <c r="B7" s="55">
        <v>0</v>
      </c>
      <c r="C7" s="55"/>
      <c r="D7" s="55"/>
      <c r="E7" s="55"/>
      <c r="F7" s="55"/>
      <c r="G7" s="55"/>
      <c r="H7" s="55">
        <v>0</v>
      </c>
      <c r="I7" s="55"/>
    </row>
    <row r="8" spans="1:9" x14ac:dyDescent="0.25">
      <c r="A8" s="3" t="s">
        <v>41</v>
      </c>
      <c r="B8" s="55">
        <v>0</v>
      </c>
      <c r="C8" s="55"/>
      <c r="D8" s="55"/>
      <c r="E8" s="55"/>
      <c r="F8" s="55"/>
      <c r="G8" s="55"/>
      <c r="H8" s="55">
        <v>0</v>
      </c>
      <c r="I8" s="55"/>
    </row>
    <row r="9" spans="1:9" x14ac:dyDescent="0.25">
      <c r="A9" s="27" t="s">
        <v>83</v>
      </c>
      <c r="B9" s="65">
        <v>0</v>
      </c>
      <c r="C9" s="65"/>
      <c r="D9" s="65"/>
      <c r="E9" s="65"/>
      <c r="F9" s="65"/>
      <c r="G9" s="65"/>
      <c r="H9" s="65">
        <v>0</v>
      </c>
      <c r="I9" s="55"/>
    </row>
    <row r="10" spans="1:9" x14ac:dyDescent="0.25">
      <c r="A10" s="3" t="s">
        <v>84</v>
      </c>
      <c r="B10" s="55">
        <v>0</v>
      </c>
      <c r="C10" s="55"/>
      <c r="D10" s="55"/>
      <c r="E10" s="55"/>
      <c r="F10" s="55"/>
      <c r="G10" s="55"/>
      <c r="H10" s="55">
        <v>0</v>
      </c>
      <c r="I10" s="55"/>
    </row>
    <row r="11" spans="1:9" ht="16.5" thickBot="1" x14ac:dyDescent="0.3">
      <c r="A11" s="27" t="s">
        <v>85</v>
      </c>
      <c r="B11" s="65">
        <v>9664</v>
      </c>
      <c r="C11" s="65"/>
      <c r="D11" s="65"/>
      <c r="E11" s="65"/>
      <c r="F11" s="65"/>
      <c r="G11" s="65"/>
      <c r="H11" s="65">
        <v>10</v>
      </c>
      <c r="I11" s="65"/>
    </row>
    <row r="12" spans="1:9" ht="16.5" thickBot="1" x14ac:dyDescent="0.3">
      <c r="A12" s="31" t="s">
        <v>72</v>
      </c>
      <c r="B12" s="29">
        <f>SUM(B4:B11)</f>
        <v>394811</v>
      </c>
      <c r="C12" s="29">
        <f>SUM(C4:C11)</f>
        <v>0</v>
      </c>
      <c r="D12" s="29">
        <f>SUM(D4:D11)</f>
        <v>0</v>
      </c>
      <c r="E12" s="29">
        <f t="shared" ref="E12:I12" si="0">SUM(E4:E11)</f>
        <v>0</v>
      </c>
      <c r="F12" s="29">
        <f>SUM(F4:F11)</f>
        <v>0</v>
      </c>
      <c r="G12" s="29">
        <f t="shared" si="0"/>
        <v>0</v>
      </c>
      <c r="H12" s="29">
        <f>SUM(H4:H11)</f>
        <v>16690</v>
      </c>
      <c r="I12" s="30">
        <f t="shared" si="0"/>
        <v>0</v>
      </c>
    </row>
    <row r="14" spans="1:9" x14ac:dyDescent="0.25">
      <c r="A14" s="4" t="s">
        <v>46</v>
      </c>
      <c r="B14" s="4" t="s">
        <v>44</v>
      </c>
      <c r="C14" s="4" t="s">
        <v>50</v>
      </c>
      <c r="D14" s="4" t="s">
        <v>45</v>
      </c>
      <c r="E14" s="4" t="s">
        <v>52</v>
      </c>
      <c r="F14" s="7" t="s">
        <v>53</v>
      </c>
      <c r="G14" s="7" t="s">
        <v>54</v>
      </c>
      <c r="H14" s="2" t="s">
        <v>86</v>
      </c>
      <c r="I14" s="35" t="s">
        <v>87</v>
      </c>
    </row>
    <row r="15" spans="1:9" x14ac:dyDescent="0.25">
      <c r="A15" s="3" t="s">
        <v>47</v>
      </c>
      <c r="B15" s="55">
        <v>220732</v>
      </c>
      <c r="C15" s="55"/>
      <c r="D15" s="55"/>
      <c r="E15" s="55"/>
      <c r="F15" s="55"/>
      <c r="G15" s="55"/>
      <c r="H15" s="55">
        <v>11032</v>
      </c>
      <c r="I15" s="55"/>
    </row>
    <row r="16" spans="1:9" x14ac:dyDescent="0.25">
      <c r="A16" s="3" t="s">
        <v>48</v>
      </c>
      <c r="B16" s="55">
        <v>160114</v>
      </c>
      <c r="C16" s="55"/>
      <c r="D16" s="55"/>
      <c r="E16" s="55"/>
      <c r="F16" s="55"/>
      <c r="G16" s="55"/>
      <c r="H16" s="55">
        <v>4641</v>
      </c>
      <c r="I16" s="55"/>
    </row>
    <row r="17" spans="1:9" x14ac:dyDescent="0.25">
      <c r="A17" s="3" t="s">
        <v>49</v>
      </c>
      <c r="B17" s="55">
        <v>13965</v>
      </c>
      <c r="C17" s="55"/>
      <c r="D17" s="55"/>
      <c r="E17" s="55"/>
      <c r="F17" s="55"/>
      <c r="G17" s="55"/>
      <c r="H17" s="55">
        <v>1017</v>
      </c>
      <c r="I17" s="55"/>
    </row>
    <row r="18" spans="1:9" ht="16.5" thickBot="1" x14ac:dyDescent="0.3">
      <c r="A18" s="52" t="s">
        <v>55</v>
      </c>
      <c r="B18" s="73"/>
      <c r="C18" s="73"/>
      <c r="D18" s="73"/>
      <c r="E18" s="73"/>
      <c r="F18" s="73"/>
      <c r="G18" s="73"/>
      <c r="H18" s="73"/>
      <c r="I18" s="55"/>
    </row>
    <row r="19" spans="1:9" ht="16.5" thickBot="1" x14ac:dyDescent="0.3">
      <c r="A19" s="31" t="s">
        <v>72</v>
      </c>
      <c r="B19" s="29">
        <f>SUM(B15:B18)</f>
        <v>394811</v>
      </c>
      <c r="C19" s="29">
        <f>SUM(C15:C18)</f>
        <v>0</v>
      </c>
      <c r="D19" s="29">
        <f t="shared" ref="D19:I19" si="1">SUM(D15:D18)</f>
        <v>0</v>
      </c>
      <c r="E19" s="29">
        <f>SUM(E15:E18)</f>
        <v>0</v>
      </c>
      <c r="F19" s="29">
        <f t="shared" si="1"/>
        <v>0</v>
      </c>
      <c r="G19" s="29">
        <f>SUM(G15:G18)</f>
        <v>0</v>
      </c>
      <c r="H19" s="29">
        <f>SUM(H15:H18)</f>
        <v>16690</v>
      </c>
      <c r="I19" s="53">
        <f t="shared" si="1"/>
        <v>0</v>
      </c>
    </row>
    <row r="21" spans="1:9" s="38" customFormat="1" x14ac:dyDescent="0.25">
      <c r="A21" s="7" t="s">
        <v>51</v>
      </c>
      <c r="B21" s="7" t="s">
        <v>44</v>
      </c>
      <c r="C21" s="7" t="s">
        <v>50</v>
      </c>
      <c r="D21" s="7" t="s">
        <v>45</v>
      </c>
      <c r="E21" s="7" t="s">
        <v>52</v>
      </c>
      <c r="F21" s="7" t="s">
        <v>53</v>
      </c>
      <c r="G21" s="7" t="s">
        <v>54</v>
      </c>
      <c r="H21" s="2" t="s">
        <v>86</v>
      </c>
      <c r="I21" s="35" t="s">
        <v>87</v>
      </c>
    </row>
    <row r="22" spans="1:9" s="38" customFormat="1" x14ac:dyDescent="0.25">
      <c r="A22" s="34" t="s">
        <v>95</v>
      </c>
      <c r="B22" s="74">
        <v>14725</v>
      </c>
      <c r="C22" s="74"/>
      <c r="D22" s="74"/>
      <c r="E22" s="74"/>
      <c r="F22" s="74"/>
      <c r="G22" s="74"/>
      <c r="H22" s="74">
        <v>1603</v>
      </c>
      <c r="I22" s="74"/>
    </row>
    <row r="23" spans="1:9" s="38" customFormat="1" x14ac:dyDescent="0.25">
      <c r="A23" s="34" t="s">
        <v>216</v>
      </c>
      <c r="B23" s="74">
        <v>258392</v>
      </c>
      <c r="C23" s="74"/>
      <c r="D23" s="74"/>
      <c r="E23" s="74"/>
      <c r="F23" s="74"/>
      <c r="G23" s="74"/>
      <c r="H23" s="74">
        <v>10989</v>
      </c>
      <c r="I23" s="74"/>
    </row>
    <row r="24" spans="1:9" s="38" customFormat="1" x14ac:dyDescent="0.25">
      <c r="A24" s="34" t="s">
        <v>217</v>
      </c>
      <c r="B24" s="74">
        <v>110925</v>
      </c>
      <c r="C24" s="74"/>
      <c r="D24" s="74"/>
      <c r="E24" s="74"/>
      <c r="F24" s="74"/>
      <c r="G24" s="74"/>
      <c r="H24" s="74">
        <v>3796</v>
      </c>
      <c r="I24" s="74"/>
    </row>
    <row r="25" spans="1:9" s="38" customFormat="1" ht="16.5" thickBot="1" x14ac:dyDescent="0.3">
      <c r="A25" s="34" t="s">
        <v>96</v>
      </c>
      <c r="B25" s="74">
        <v>10769</v>
      </c>
      <c r="C25" s="74"/>
      <c r="D25" s="74"/>
      <c r="E25" s="74"/>
      <c r="F25" s="74"/>
      <c r="G25" s="74"/>
      <c r="H25" s="74">
        <v>302</v>
      </c>
      <c r="I25" s="74"/>
    </row>
    <row r="26" spans="1:9" ht="16.5" thickBot="1" x14ac:dyDescent="0.3">
      <c r="A26" s="31" t="s">
        <v>72</v>
      </c>
      <c r="B26" s="29">
        <f>SUM(B22:B25)</f>
        <v>394811</v>
      </c>
      <c r="C26" s="29">
        <f>SUM(C22:C25)</f>
        <v>0</v>
      </c>
      <c r="D26" s="29">
        <f t="shared" ref="D26:I26" si="2">SUM(D22:D25)</f>
        <v>0</v>
      </c>
      <c r="E26" s="29">
        <f>SUM(E22:E25)</f>
        <v>0</v>
      </c>
      <c r="F26" s="29">
        <f>SUM(F22:F25)</f>
        <v>0</v>
      </c>
      <c r="G26" s="29">
        <f>SUM(G22:G25)</f>
        <v>0</v>
      </c>
      <c r="H26" s="29">
        <f>SUM(H22:H25)</f>
        <v>16690</v>
      </c>
      <c r="I26" s="30">
        <f t="shared" si="2"/>
        <v>0</v>
      </c>
    </row>
  </sheetData>
  <sheetProtection algorithmName="SHA-512" hashValue="/sL2fhIAdUS5RK3vNyUttYPQ0biQ8g9/UpFy5ecdMV3eC5tU0m0zCzbkUICuXD2pRa4Ulm1hQCpjQgp61p622g==" saltValue="FUhc3cJTZ/t0bnD47XltzA==" spinCount="100000" sheet="1" objects="1" scenarios="1"/>
  <dataValidations count="1">
    <dataValidation type="decimal" allowBlank="1" showInputMessage="1" showErrorMessage="1" sqref="B4:I11 B15:I18 B22:I25" xr:uid="{00000000-0002-0000-0C00-000000000000}">
      <formula1>0</formula1>
      <formula2>100000000000000000000</formula2>
    </dataValidation>
  </dataValidations>
  <pageMargins left="0.7" right="0.7" top="0.75" bottom="0.75" header="0.3" footer="0.3"/>
  <pageSetup scale="9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9"/>
  <sheetViews>
    <sheetView showGridLines="0" workbookViewId="0">
      <selection activeCell="I2" sqref="I2"/>
    </sheetView>
  </sheetViews>
  <sheetFormatPr defaultRowHeight="15.75" x14ac:dyDescent="0.25"/>
  <cols>
    <col min="1" max="1" width="6" customWidth="1"/>
    <col min="2" max="2" width="16.625" customWidth="1"/>
    <col min="3" max="5" width="19.25" customWidth="1"/>
    <col min="6" max="6" width="19.625" bestFit="1" customWidth="1"/>
    <col min="7" max="7" width="23.375" customWidth="1"/>
    <col min="8" max="8" width="21.5" customWidth="1"/>
    <col min="9" max="9" width="18" customWidth="1"/>
    <col min="10" max="10" width="14.875" customWidth="1"/>
    <col min="11" max="11" width="10.75" customWidth="1"/>
  </cols>
  <sheetData>
    <row r="1" spans="1:11" ht="16.5" thickBot="1" x14ac:dyDescent="0.3">
      <c r="A1" s="43" t="s">
        <v>190</v>
      </c>
      <c r="B1" s="44"/>
      <c r="C1" s="44"/>
      <c r="D1" s="44"/>
      <c r="E1" s="44"/>
      <c r="F1" s="44"/>
      <c r="G1" s="44"/>
      <c r="H1" s="44"/>
      <c r="I1" s="44"/>
      <c r="J1" s="44"/>
      <c r="K1" s="44"/>
    </row>
    <row r="2" spans="1:11" ht="39" thickBot="1" x14ac:dyDescent="0.3">
      <c r="A2" s="36" t="s">
        <v>88</v>
      </c>
      <c r="B2" s="37" t="s">
        <v>89</v>
      </c>
      <c r="C2" s="37" t="s">
        <v>90</v>
      </c>
      <c r="D2" s="37" t="s">
        <v>94</v>
      </c>
      <c r="E2" s="37" t="s">
        <v>93</v>
      </c>
      <c r="F2" s="37" t="s">
        <v>91</v>
      </c>
      <c r="G2" s="37" t="s">
        <v>92</v>
      </c>
      <c r="H2" s="39" t="s">
        <v>221</v>
      </c>
      <c r="I2" s="39" t="s">
        <v>222</v>
      </c>
      <c r="J2" s="39" t="s">
        <v>223</v>
      </c>
      <c r="K2" s="39" t="s">
        <v>188</v>
      </c>
    </row>
    <row r="3" spans="1:11" x14ac:dyDescent="0.25">
      <c r="A3" s="41">
        <v>1</v>
      </c>
      <c r="B3" s="75"/>
      <c r="C3" s="75"/>
      <c r="D3" s="75"/>
      <c r="E3" s="75"/>
      <c r="F3" s="75"/>
      <c r="G3" s="75"/>
      <c r="H3" s="75"/>
      <c r="I3" s="75"/>
      <c r="J3" s="75"/>
      <c r="K3" s="75"/>
    </row>
    <row r="4" spans="1:11" x14ac:dyDescent="0.25">
      <c r="A4" s="42">
        <v>2</v>
      </c>
      <c r="B4" s="55"/>
      <c r="C4" s="55"/>
      <c r="D4" s="55"/>
      <c r="E4" s="55"/>
      <c r="F4" s="55"/>
      <c r="G4" s="55"/>
      <c r="H4" s="55"/>
      <c r="I4" s="55"/>
      <c r="J4" s="55"/>
      <c r="K4" s="55"/>
    </row>
    <row r="5" spans="1:11" x14ac:dyDescent="0.25">
      <c r="A5" s="42">
        <v>3</v>
      </c>
      <c r="B5" s="55"/>
      <c r="C5" s="55"/>
      <c r="D5" s="55"/>
      <c r="E5" s="55"/>
      <c r="F5" s="55"/>
      <c r="G5" s="55"/>
      <c r="H5" s="55"/>
      <c r="I5" s="55"/>
      <c r="J5" s="55"/>
      <c r="K5" s="55"/>
    </row>
    <row r="6" spans="1:11" x14ac:dyDescent="0.25">
      <c r="A6" s="42">
        <v>4</v>
      </c>
      <c r="B6" s="55"/>
      <c r="C6" s="55"/>
      <c r="D6" s="55"/>
      <c r="E6" s="55"/>
      <c r="F6" s="55"/>
      <c r="G6" s="55"/>
      <c r="H6" s="55"/>
      <c r="I6" s="55"/>
      <c r="J6" s="55"/>
      <c r="K6" s="55"/>
    </row>
    <row r="7" spans="1:11" x14ac:dyDescent="0.25">
      <c r="A7" s="42">
        <v>5</v>
      </c>
      <c r="B7" s="55"/>
      <c r="C7" s="55"/>
      <c r="D7" s="55"/>
      <c r="E7" s="55"/>
      <c r="F7" s="55"/>
      <c r="G7" s="55"/>
      <c r="H7" s="55"/>
      <c r="I7" s="55"/>
      <c r="J7" s="55"/>
      <c r="K7" s="55"/>
    </row>
    <row r="8" spans="1:11" x14ac:dyDescent="0.25">
      <c r="A8" s="42">
        <v>6</v>
      </c>
      <c r="B8" s="55"/>
      <c r="C8" s="55"/>
      <c r="D8" s="55"/>
      <c r="E8" s="55"/>
      <c r="F8" s="55"/>
      <c r="G8" s="55"/>
      <c r="H8" s="55"/>
      <c r="I8" s="55"/>
      <c r="J8" s="55"/>
      <c r="K8" s="55"/>
    </row>
    <row r="9" spans="1:11" x14ac:dyDescent="0.25">
      <c r="A9" s="42">
        <v>7</v>
      </c>
      <c r="B9" s="55"/>
      <c r="C9" s="55"/>
      <c r="D9" s="55"/>
      <c r="E9" s="55"/>
      <c r="F9" s="55"/>
      <c r="G9" s="55"/>
      <c r="H9" s="55"/>
      <c r="I9" s="55"/>
      <c r="J9" s="55"/>
      <c r="K9" s="55"/>
    </row>
    <row r="10" spans="1:11" x14ac:dyDescent="0.25">
      <c r="A10" s="42">
        <v>8</v>
      </c>
      <c r="B10" s="55"/>
      <c r="C10" s="55"/>
      <c r="D10" s="55"/>
      <c r="E10" s="55"/>
      <c r="F10" s="55"/>
      <c r="G10" s="55"/>
      <c r="H10" s="55"/>
      <c r="I10" s="55"/>
      <c r="J10" s="55"/>
      <c r="K10" s="55"/>
    </row>
    <row r="11" spans="1:11" x14ac:dyDescent="0.25">
      <c r="A11" s="42">
        <v>9</v>
      </c>
      <c r="B11" s="55"/>
      <c r="C11" s="55"/>
      <c r="D11" s="55"/>
      <c r="E11" s="55"/>
      <c r="F11" s="55"/>
      <c r="G11" s="55"/>
      <c r="H11" s="55"/>
      <c r="I11" s="55"/>
      <c r="J11" s="55"/>
      <c r="K11" s="55"/>
    </row>
    <row r="12" spans="1:11" x14ac:dyDescent="0.25">
      <c r="A12" s="42">
        <v>10</v>
      </c>
      <c r="B12" s="55"/>
      <c r="C12" s="55"/>
      <c r="D12" s="55"/>
      <c r="E12" s="55"/>
      <c r="F12" s="55"/>
      <c r="G12" s="55"/>
      <c r="H12" s="55"/>
      <c r="I12" s="55"/>
      <c r="J12" s="55"/>
      <c r="K12" s="55"/>
    </row>
    <row r="13" spans="1:11" x14ac:dyDescent="0.25">
      <c r="A13" s="42">
        <v>11</v>
      </c>
      <c r="B13" s="55"/>
      <c r="C13" s="55"/>
      <c r="D13" s="55"/>
      <c r="E13" s="55"/>
      <c r="F13" s="55"/>
      <c r="G13" s="55"/>
      <c r="H13" s="55"/>
      <c r="I13" s="55"/>
      <c r="J13" s="55"/>
      <c r="K13" s="55"/>
    </row>
    <row r="14" spans="1:11" x14ac:dyDescent="0.25">
      <c r="A14" s="42">
        <v>12</v>
      </c>
      <c r="B14" s="55"/>
      <c r="C14" s="55"/>
      <c r="D14" s="55"/>
      <c r="E14" s="55"/>
      <c r="F14" s="55"/>
      <c r="G14" s="55"/>
      <c r="H14" s="55"/>
      <c r="I14" s="55"/>
      <c r="J14" s="55"/>
      <c r="K14" s="55"/>
    </row>
    <row r="15" spans="1:11" x14ac:dyDescent="0.25">
      <c r="A15" s="42">
        <v>13</v>
      </c>
      <c r="B15" s="55"/>
      <c r="C15" s="55"/>
      <c r="D15" s="55"/>
      <c r="E15" s="55"/>
      <c r="F15" s="55"/>
      <c r="G15" s="55"/>
      <c r="H15" s="55"/>
      <c r="I15" s="55"/>
      <c r="J15" s="55"/>
      <c r="K15" s="55"/>
    </row>
    <row r="16" spans="1:11" x14ac:dyDescent="0.25">
      <c r="A16" s="42">
        <v>14</v>
      </c>
      <c r="B16" s="55"/>
      <c r="C16" s="55"/>
      <c r="D16" s="55"/>
      <c r="E16" s="55"/>
      <c r="F16" s="55"/>
      <c r="G16" s="55"/>
      <c r="H16" s="55"/>
      <c r="I16" s="55"/>
      <c r="J16" s="55"/>
      <c r="K16" s="55"/>
    </row>
    <row r="17" spans="1:11" x14ac:dyDescent="0.25">
      <c r="A17" s="42">
        <v>15</v>
      </c>
      <c r="B17" s="55"/>
      <c r="C17" s="55"/>
      <c r="D17" s="55"/>
      <c r="E17" s="55"/>
      <c r="F17" s="55"/>
      <c r="G17" s="55"/>
      <c r="H17" s="55"/>
      <c r="I17" s="55"/>
      <c r="J17" s="55"/>
      <c r="K17" s="55"/>
    </row>
    <row r="18" spans="1:11" x14ac:dyDescent="0.25">
      <c r="A18" s="40"/>
      <c r="B18" s="55"/>
      <c r="C18" s="55"/>
      <c r="D18" s="55"/>
      <c r="E18" s="55"/>
      <c r="F18" s="55"/>
      <c r="G18" s="55"/>
      <c r="H18" s="55"/>
      <c r="I18" s="55"/>
      <c r="J18" s="55"/>
      <c r="K18" s="55"/>
    </row>
    <row r="19" spans="1:11" x14ac:dyDescent="0.25">
      <c r="A19" s="40"/>
      <c r="B19" s="55"/>
      <c r="C19" s="55"/>
      <c r="D19" s="55"/>
      <c r="E19" s="55"/>
      <c r="F19" s="55"/>
      <c r="G19" s="55"/>
      <c r="H19" s="55"/>
      <c r="I19" s="55"/>
      <c r="J19" s="55"/>
      <c r="K19" s="55"/>
    </row>
  </sheetData>
  <sheetProtection algorithmName="SHA-512" hashValue="OHNWna6QTut8PdlIQdqfY5ILthXfQFUfr4M3gmHo//TKhLPL6GS5J1h0aG1QX9xMnrxs+g49WhzJRNj1xyGBXQ==" saltValue="jt/E2KuoM5IG9FJQHNmQJA==" spinCount="100000" sheet="1" objects="1" scenarios="1"/>
  <dataValidations count="1">
    <dataValidation type="decimal" allowBlank="1" showInputMessage="1" showErrorMessage="1" sqref="C3:K18" xr:uid="{00000000-0002-0000-0D00-000000000000}">
      <formula1>0</formula1>
      <formula2>10000000000000000000</formula2>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showGridLines="0" workbookViewId="0">
      <selection activeCell="C14" sqref="C14"/>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Home Page</vt:lpstr>
      <vt:lpstr>Glossary</vt:lpstr>
      <vt:lpstr>1.International Transactions</vt:lpstr>
      <vt:lpstr>2.Domestic Transactions</vt:lpstr>
      <vt:lpstr>3.No of Merchants_Province</vt:lpstr>
      <vt:lpstr>4.No of Merchants_Local</vt:lpstr>
      <vt:lpstr>5.No of Merchants_District</vt:lpstr>
      <vt:lpstr>6.Genderwise_Merchant</vt:lpstr>
      <vt:lpstr>7. Merchant Txns_Province</vt:lpstr>
      <vt:lpstr>8.Merchant Txns_District</vt:lpstr>
      <vt:lpstr>9.Merchant Txns_Local</vt:lpstr>
      <vt:lpstr>10. Genderwise_Txn</vt:lpstr>
      <vt:lpstr>11.Users</vt:lpstr>
      <vt:lpstr>12.Digital Lending</vt:lpstr>
      <vt:lpstr>Fraud and Grievances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Paneru</dc:creator>
  <cp:lastModifiedBy>Priyanka Rana Magar</cp:lastModifiedBy>
  <cp:lastPrinted>2025-02-27T05:18:20Z</cp:lastPrinted>
  <dcterms:created xsi:type="dcterms:W3CDTF">2025-02-25T06:34:16Z</dcterms:created>
  <dcterms:modified xsi:type="dcterms:W3CDTF">2025-12-11T12:25:40Z</dcterms:modified>
</cp:coreProperties>
</file>